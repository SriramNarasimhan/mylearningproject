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0490" windowHeight="8595" activeTab="1"/>
  </bookViews>
  <sheets>
    <sheet name=" Efforts - CMS" sheetId="9" r:id="rId1"/>
    <sheet name="Inventory_List" sheetId="4" r:id="rId2"/>
    <sheet name="AEM Assumptions" sheetId="10" r:id="rId3"/>
    <sheet name="Base_Effort" sheetId="8" state="hidden" r:id="rId4"/>
  </sheets>
  <definedNames>
    <definedName name="_xlnm._FilterDatabase" localSheetId="1" hidden="1">Inventory_List!#REF!</definedName>
    <definedName name="Z_857E6667_A713_4B09_9823_8F0C25185D88_.wvu.Cols" localSheetId="0" hidden="1">' Efforts - CMS'!#REF!,' Efforts - CMS'!#REF!</definedName>
  </definedNames>
  <calcPr calcId="145621"/>
</workbook>
</file>

<file path=xl/calcChain.xml><?xml version="1.0" encoding="utf-8"?>
<calcChain xmlns="http://schemas.openxmlformats.org/spreadsheetml/2006/main">
  <c r="D11" i="9" l="1"/>
  <c r="E11" i="9" s="1"/>
  <c r="C6" i="8"/>
  <c r="C3" i="8"/>
  <c r="C7" i="8"/>
  <c r="H5" i="8"/>
  <c r="G3" i="8"/>
  <c r="H6" i="8"/>
  <c r="F4" i="8"/>
  <c r="G7" i="8"/>
  <c r="H4" i="8"/>
  <c r="E7" i="8"/>
  <c r="D3" i="8"/>
  <c r="E4" i="8"/>
  <c r="H3" i="8"/>
  <c r="F3" i="8"/>
  <c r="E5" i="8"/>
  <c r="F5" i="8"/>
  <c r="D5" i="8"/>
  <c r="E6" i="8"/>
  <c r="D6" i="8"/>
  <c r="G12" i="4"/>
  <c r="D7" i="8"/>
  <c r="F7" i="8"/>
  <c r="C5" i="8"/>
  <c r="G4" i="4" s="1"/>
  <c r="G5" i="8"/>
  <c r="D4" i="8"/>
  <c r="H7" i="8"/>
  <c r="G6" i="8"/>
  <c r="E3" i="8"/>
  <c r="G4" i="8"/>
  <c r="F6" i="8"/>
  <c r="C4" i="8"/>
  <c r="G14" i="4"/>
  <c r="G7" i="4"/>
  <c r="G3" i="4"/>
  <c r="G6" i="4"/>
  <c r="G21" i="4"/>
  <c r="G16" i="4"/>
  <c r="G13" i="4"/>
  <c r="G5" i="4"/>
  <c r="G9" i="4"/>
  <c r="G15" i="4"/>
  <c r="G8" i="4"/>
  <c r="G20" i="4"/>
  <c r="G11" i="4"/>
  <c r="G10" i="4"/>
  <c r="G19" i="4"/>
  <c r="H4" i="4" l="1"/>
  <c r="K4" i="4" s="1"/>
  <c r="H3" i="4"/>
  <c r="K3" i="4" s="1"/>
  <c r="G18" i="4"/>
  <c r="G17" i="4"/>
  <c r="G23" i="4" l="1"/>
  <c r="C7" i="9" s="1"/>
  <c r="D7" i="9" s="1"/>
  <c r="E7" i="9" s="1"/>
  <c r="I3" i="4"/>
  <c r="J3" i="4" s="1"/>
  <c r="I4" i="4"/>
  <c r="J4" i="4" s="1"/>
  <c r="C5" i="9" l="1"/>
  <c r="D5" i="9" s="1"/>
  <c r="E5" i="9" s="1"/>
  <c r="C3" i="9"/>
  <c r="D3" i="9" s="1"/>
  <c r="C13" i="9"/>
  <c r="D13" i="9" s="1"/>
  <c r="E13" i="9" s="1"/>
  <c r="C23" i="9"/>
  <c r="D23" i="9" s="1"/>
  <c r="E23" i="9" s="1"/>
  <c r="C17" i="9"/>
  <c r="D17" i="9" s="1"/>
  <c r="E17" i="9" s="1"/>
  <c r="C9" i="9"/>
  <c r="D9" i="9" s="1"/>
  <c r="E9" i="9" s="1"/>
  <c r="C21" i="9"/>
  <c r="D21" i="9" s="1"/>
  <c r="E21" i="9" s="1"/>
  <c r="C25" i="9" l="1"/>
  <c r="C26" i="9" s="1"/>
  <c r="C27" i="9" s="1"/>
  <c r="E3" i="9"/>
  <c r="E25" i="9" s="1"/>
  <c r="E26" i="9" s="1"/>
  <c r="E27" i="9" s="1"/>
  <c r="D25" i="9"/>
  <c r="D26" i="9" s="1"/>
  <c r="D27" i="9" s="1"/>
</calcChain>
</file>

<file path=xl/comments1.xml><?xml version="1.0" encoding="utf-8"?>
<comments xmlns="http://schemas.openxmlformats.org/spreadsheetml/2006/main">
  <authors>
    <author>Vrushabhendrappa, Vijaya(Cognizant)</author>
  </authors>
  <commentList>
    <comment ref="B1" authorId="0">
      <text>
        <r>
          <rPr>
            <b/>
            <sz val="8"/>
            <color indexed="81"/>
            <rFont val="Tahoma"/>
            <family val="2"/>
          </rPr>
          <t xml:space="preserve">Templates - </t>
        </r>
        <r>
          <rPr>
            <sz val="8"/>
            <color indexed="81"/>
            <rFont val="Tahoma"/>
            <family val="2"/>
          </rPr>
          <t>Page Layouts</t>
        </r>
        <r>
          <rPr>
            <b/>
            <sz val="8"/>
            <color indexed="81"/>
            <rFont val="Tahoma"/>
            <family val="2"/>
          </rPr>
          <t xml:space="preserve">
Components - </t>
        </r>
        <r>
          <rPr>
            <sz val="8"/>
            <color indexed="81"/>
            <rFont val="Tahoma"/>
            <family val="2"/>
          </rPr>
          <t>Presentation components which includes Authoring and Presentation part</t>
        </r>
        <r>
          <rPr>
            <b/>
            <sz val="8"/>
            <color indexed="81"/>
            <rFont val="Tahoma"/>
            <family val="2"/>
          </rPr>
          <t xml:space="preserve">
Workflow - </t>
        </r>
        <r>
          <rPr>
            <sz val="8"/>
            <color indexed="81"/>
            <rFont val="Tahoma"/>
            <family val="2"/>
          </rPr>
          <t xml:space="preserve">including custom creation and setup the triggering mechanism
</t>
        </r>
        <r>
          <rPr>
            <b/>
            <sz val="8"/>
            <color indexed="81"/>
            <rFont val="Tahoma"/>
            <family val="2"/>
          </rPr>
          <t>Java Services</t>
        </r>
        <r>
          <rPr>
            <sz val="8"/>
            <color indexed="81"/>
            <rFont val="Tahoma"/>
            <family val="2"/>
          </rPr>
          <t xml:space="preserve"> - This could be any custom code that is developed for say integration with external systems, backend systems, Logging, error handling. This need not be just based on JAVA. Any programming that is used for respective WCM tool
</t>
        </r>
        <r>
          <rPr>
            <b/>
            <sz val="8"/>
            <color indexed="81"/>
            <rFont val="Tahoma"/>
            <family val="2"/>
          </rPr>
          <t>Setup</t>
        </r>
        <r>
          <rPr>
            <sz val="8"/>
            <color indexed="81"/>
            <rFont val="Tahoma"/>
            <family val="2"/>
          </rPr>
          <t xml:space="preserve"> - This could be environment setup like development box, doing necessary Content Structure, any metadata setup for contents
</t>
        </r>
        <r>
          <rPr>
            <b/>
            <sz val="8"/>
            <color indexed="81"/>
            <rFont val="Tahoma"/>
            <family val="2"/>
          </rPr>
          <t>Configuration</t>
        </r>
        <r>
          <rPr>
            <sz val="8"/>
            <color indexed="81"/>
            <rFont val="Tahoma"/>
            <family val="2"/>
          </rPr>
          <t xml:space="preserve"> - This could be related to configuration changes for example URL rewriting / Vanity URL, server configuration changes, setting up LDAP configuration in WCM configuration file etc.
</t>
        </r>
      </text>
    </comment>
    <comment ref="D1" authorId="0">
      <text>
        <r>
          <rPr>
            <sz val="8"/>
            <color indexed="81"/>
            <rFont val="Tahoma"/>
            <family val="2"/>
          </rPr>
          <t xml:space="preserve">This is mainly used for quantifying the line item. In case if the line item effort is not falling under one complexity, we can vary this number to fit-in the complexity based on it.. For example, if a line item is neither falling to SIMPLE or MEDIUM, we can consider the complexity as SIMPLE but by varying this complexity factor we can arrive the MEDIAN of both SIMPLE &amp; MEDIUM.  </t>
        </r>
        <r>
          <rPr>
            <b/>
            <sz val="8"/>
            <color indexed="81"/>
            <rFont val="Tahoma"/>
            <family val="2"/>
          </rPr>
          <t>BY DEFAULT</t>
        </r>
        <r>
          <rPr>
            <sz val="8"/>
            <color indexed="81"/>
            <rFont val="Tahoma"/>
            <family val="2"/>
          </rPr>
          <t xml:space="preserve"> the complexity would always be kept at 1.</t>
        </r>
      </text>
    </comment>
    <comment ref="E1" authorId="0">
      <text>
        <r>
          <rPr>
            <sz val="8"/>
            <color indexed="81"/>
            <rFont val="Tahoma"/>
            <family val="2"/>
          </rPr>
          <t xml:space="preserve">We consider this factor purely on whether this line item was earlier developed and whether it can be reused. This can also be an Out of Box component which needs some customization for specific requirement
</t>
        </r>
      </text>
    </comment>
    <comment ref="F1" authorId="0">
      <text>
        <r>
          <rPr>
            <b/>
            <sz val="8"/>
            <color indexed="81"/>
            <rFont val="Tahoma"/>
            <family val="2"/>
          </rPr>
          <t>The Value should be from 1 to 80</t>
        </r>
        <r>
          <rPr>
            <sz val="8"/>
            <color indexed="81"/>
            <rFont val="Tahoma"/>
            <family val="2"/>
          </rPr>
          <t xml:space="preserve">
</t>
        </r>
      </text>
    </comment>
  </commentList>
</comments>
</file>

<file path=xl/sharedStrings.xml><?xml version="1.0" encoding="utf-8"?>
<sst xmlns="http://schemas.openxmlformats.org/spreadsheetml/2006/main" count="173" uniqueCount="127">
  <si>
    <t>Complexity</t>
  </si>
  <si>
    <t>Phase</t>
  </si>
  <si>
    <t>Template</t>
  </si>
  <si>
    <t>Simple</t>
  </si>
  <si>
    <t>Medium</t>
  </si>
  <si>
    <t>Component</t>
  </si>
  <si>
    <t>Design</t>
  </si>
  <si>
    <t>Workflow</t>
  </si>
  <si>
    <t>Very Simple</t>
  </si>
  <si>
    <t>Very Complex</t>
  </si>
  <si>
    <t>Complexity factor</t>
  </si>
  <si>
    <t>Setup</t>
  </si>
  <si>
    <t>Categories</t>
  </si>
  <si>
    <t>Complex</t>
  </si>
  <si>
    <t>Configuration</t>
  </si>
  <si>
    <t>Coding</t>
  </si>
  <si>
    <t>PM</t>
  </si>
  <si>
    <t>Complexity Vs Category</t>
  </si>
  <si>
    <t>Contingency</t>
  </si>
  <si>
    <t>PD</t>
  </si>
  <si>
    <t>PW</t>
  </si>
  <si>
    <t>Overall Effort in PH</t>
  </si>
  <si>
    <t>WCM Technology</t>
  </si>
  <si>
    <t>CODING Effort in Person Hours (PH)</t>
  </si>
  <si>
    <t>Solution Design &amp; Architecture</t>
  </si>
  <si>
    <t>Task Description</t>
  </si>
  <si>
    <t>Reusability factor</t>
  </si>
  <si>
    <t>Java Services</t>
  </si>
  <si>
    <t>AEM</t>
  </si>
  <si>
    <t>Sl #</t>
  </si>
  <si>
    <t>Phases</t>
  </si>
  <si>
    <t>Effort</t>
  </si>
  <si>
    <t>Task ID</t>
  </si>
  <si>
    <t>Tasks &amp; Details</t>
  </si>
  <si>
    <t>PH</t>
  </si>
  <si>
    <t>Requirements Validation / Gathering</t>
  </si>
  <si>
    <t>%</t>
  </si>
  <si>
    <t>RS Validation</t>
  </si>
  <si>
    <t>SIT Support</t>
  </si>
  <si>
    <t>UAT Support</t>
  </si>
  <si>
    <t>Training Support</t>
  </si>
  <si>
    <t>Total Effort</t>
  </si>
  <si>
    <t>With Contingency</t>
  </si>
  <si>
    <t>Overall Total Effort</t>
  </si>
  <si>
    <t>Support</t>
  </si>
  <si>
    <t>Security Testing</t>
  </si>
  <si>
    <t>PM Effort</t>
  </si>
  <si>
    <t>Unit Testing</t>
  </si>
  <si>
    <t>UI Effort</t>
  </si>
  <si>
    <t>Develop</t>
  </si>
  <si>
    <t>Testing Effort</t>
  </si>
  <si>
    <t>Prep.</t>
  </si>
  <si>
    <t>Execute</t>
  </si>
  <si>
    <t>Perf / Load / Regression</t>
  </si>
  <si>
    <t>GO LIVE &amp; Warranty</t>
  </si>
  <si>
    <t>Content Migration</t>
  </si>
  <si>
    <t>Other Testing &amp; Support</t>
  </si>
  <si>
    <t>Go Live &amp; Warranty Support</t>
  </si>
  <si>
    <t>Training &amp; Support</t>
  </si>
  <si>
    <t>Dev. Support for test phase</t>
  </si>
  <si>
    <t>Such Item</t>
  </si>
  <si>
    <t>Logo with Top Navigation</t>
  </si>
  <si>
    <t>Assumptions</t>
  </si>
  <si>
    <t>System Testing Support (developer)</t>
  </si>
  <si>
    <t>Coding(PH)</t>
  </si>
  <si>
    <t>There will be no customization to AEM 6.1 tool interfaces.</t>
  </si>
  <si>
    <t>GSA component to be used for search</t>
  </si>
  <si>
    <t>In case of any additional presentation components / workflows / templates / page layout needs to be developed an appropriate CR would be considered</t>
  </si>
  <si>
    <t>We would be revisiting the estimates once the requirements phase gets completed to see any impact on the remaining schedule considering the reusability factor</t>
  </si>
  <si>
    <t>Training effort is not included in the timelines / schedule / pricing.</t>
  </si>
  <si>
    <t>Unit testing is manual.</t>
  </si>
  <si>
    <t xml:space="preserve">Video will be stored in Limelight and no integration is neeeded. </t>
  </si>
  <si>
    <t>Unit testing will be done for English Language.</t>
  </si>
  <si>
    <t>There would not be any workflows implemented as part of framework development</t>
  </si>
  <si>
    <t>No new 3rd party applications require to be integrated with the CMS application</t>
  </si>
  <si>
    <t>Any unforeseen issues from the existing Abbott infrastructure will have to be analyzed and re-estimated separately</t>
  </si>
  <si>
    <t>Any unforeseen delay in UAT will affect the overall timelines</t>
  </si>
  <si>
    <t>We have assumed there would not be any workflows implemented as part of framework development</t>
  </si>
  <si>
    <t>We have assumed the Data will be stored in CRX repository</t>
  </si>
  <si>
    <t>The WCM solution would be designed and developed on AEM 6.1</t>
  </si>
  <si>
    <t>Any links that are going outside would be treated as plain links</t>
  </si>
  <si>
    <t xml:space="preserve">Active Standards Fixes – We have to run the whole site against active standards tool which will find out broken links, broken images, Best practices – HTML development etc. </t>
  </si>
  <si>
    <t>In Scope</t>
  </si>
  <si>
    <t xml:space="preserve">Create a site and set up authors/approvers in the system </t>
  </si>
  <si>
    <t>Only English language site</t>
  </si>
  <si>
    <t xml:space="preserve">GSA and SiteCatalyst integration </t>
  </si>
  <si>
    <t>Content Authoring (includes creation of tags and assigning to each page)</t>
  </si>
  <si>
    <t xml:space="preserve">System Testing </t>
  </si>
  <si>
    <t>Production roll out and deployment support</t>
  </si>
  <si>
    <t>Active standards will be used to test all divisional and regional sites and all defects will be fixed.</t>
  </si>
  <si>
    <t>Dispatcher/Apache configuration files set up for these new country/affiliates sites</t>
  </si>
  <si>
    <t>Out of Scope</t>
  </si>
  <si>
    <t>We assume that Hardware / Software setup  (QA / UAT / Integration box) is not in scope</t>
  </si>
  <si>
    <t>Metadata / Taxonomy definition is not in scope</t>
  </si>
  <si>
    <t>Development of wireframes, PSDs, and style guides or creation of content or metadata</t>
  </si>
  <si>
    <t>Creating copy, imagery, videos or any other form of content</t>
  </si>
  <si>
    <t>Preparing user/training documentation</t>
  </si>
  <si>
    <t>Any new components (which are not listed in Template and Component List) are out of scope.</t>
  </si>
  <si>
    <t>MLR review timelines.</t>
  </si>
  <si>
    <t>Performance testing is out of scope</t>
  </si>
  <si>
    <t>Capacity Planning is out of scope</t>
  </si>
  <si>
    <t>Vulnerability/security testing is out of scope</t>
  </si>
  <si>
    <t>Infrastructure level changes is not in scope and will be done by Adobe Managed services only</t>
  </si>
  <si>
    <t>Home page template</t>
  </si>
  <si>
    <t>Product page template</t>
  </si>
  <si>
    <t>Global utility navigation</t>
  </si>
  <si>
    <t>Global footer navigation</t>
  </si>
  <si>
    <t>Google search component</t>
  </si>
  <si>
    <t>Page share email component</t>
  </si>
  <si>
    <t>Custom carousel component</t>
  </si>
  <si>
    <t>Sitemap component</t>
  </si>
  <si>
    <t>Mega menu component</t>
  </si>
  <si>
    <t>Breadcrumb navigation component</t>
  </si>
  <si>
    <t>Custom Title, Text, Image(link) along with Banner</t>
  </si>
  <si>
    <t>Register for Updates</t>
  </si>
  <si>
    <t>Contact us Kana integration</t>
  </si>
  <si>
    <t>Converge &amp; Formulary Tool</t>
  </si>
  <si>
    <t>Site roll out in multiple Language is out of scope</t>
  </si>
  <si>
    <t>Active standard fixes</t>
  </si>
  <si>
    <t>Initial content Authoting</t>
  </si>
  <si>
    <t>Configuration setup (Author,Publisher, dispatcher)</t>
  </si>
  <si>
    <t>Confirmation Alert for 3rd party Website</t>
  </si>
  <si>
    <t xml:space="preserve">Any variation on the number of pages given (20) beyond 5 %,Testing effort and cost needs to be revised </t>
  </si>
  <si>
    <t>Analytics, GSA configuration,  setup coordination will be done by the existing Run team and is not included in the effort provided</t>
  </si>
  <si>
    <t>Webservices related to converge and Formulary tool will be implemented by the external service provider. Cognizant will only consume the rest webservices, parse the response data and display.</t>
  </si>
  <si>
    <t>UAT</t>
  </si>
  <si>
    <t>Efforts for CI, Testing &amp; PM have not been factored in this estimates</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</si>
</sst>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sz val="11"/>
      <color theme="1"/>
      <name val="Calibri"/>
      <family val="2"/>
      <scheme val="minor"/>
    </font>
    <font>
      <sz val="10"/>
      <name val="Arial"/>
      <family val="2"/>
    </font>
    <font>
      <sz val="11"/>
      <color indexed="8"/>
      <name val="Calibri"/>
      <family val="2"/>
    </font>
    <font>
      <sz val="8"/>
      <color indexed="81"/>
      <name val="Tahoma"/>
      <family val="2"/>
    </font>
    <font>
      <b/>
      <sz val="8"/>
      <color indexed="81"/>
      <name val="Tahoma"/>
      <family val="2"/>
    </font>
    <font>
      <sz val="8"/>
      <color theme="1"/>
      <name val="Calibri"/>
      <family val="2"/>
      <scheme val="minor"/>
    </font>
    <font>
      <b/>
      <sz val="8"/>
      <color theme="1"/>
      <name val="Calibri"/>
      <family val="2"/>
      <scheme val="minor"/>
    </font>
    <font>
      <b/>
      <sz val="8"/>
      <color theme="1"/>
      <name val="Book Antiqua"/>
      <family val="1"/>
    </font>
    <font>
      <b/>
      <sz val="11"/>
      <color theme="1"/>
      <name val="Calibri"/>
      <family val="2"/>
      <scheme val="minor"/>
    </font>
    <font>
      <b/>
      <sz val="9"/>
      <color theme="1"/>
      <name val="Calibri"/>
      <family val="2"/>
      <scheme val="minor"/>
    </font>
    <font>
      <b/>
      <sz val="10"/>
      <color theme="1"/>
      <name val="Calibri"/>
      <family val="2"/>
      <scheme val="minor"/>
    </font>
    <font>
      <sz val="9"/>
      <color theme="1"/>
      <name val="Calibri"/>
      <family val="2"/>
      <scheme val="minor"/>
    </font>
    <font>
      <sz val="11"/>
      <color rgb="FFFF0000"/>
      <name val="Calibri"/>
      <family val="2"/>
      <scheme val="minor"/>
    </font>
    <font>
      <b/>
      <sz val="10"/>
      <name val="Trebuchet MS"/>
      <family val="2"/>
    </font>
    <font>
      <sz val="10"/>
      <color theme="1"/>
      <name val="Trebuchet MS"/>
      <family val="2"/>
    </font>
    <font>
      <sz val="10"/>
      <color rgb="FFFF0000"/>
      <name val="Trebuchet MS"/>
      <family val="2"/>
    </font>
    <font>
      <b/>
      <sz val="11"/>
      <color rgb="FFFF0000"/>
      <name val="Calibri"/>
      <family val="2"/>
    </font>
    <font>
      <b/>
      <sz val="10"/>
      <color theme="1"/>
      <name val="Trebuchet MS"/>
      <family val="2"/>
    </font>
    <font>
      <sz val="10"/>
      <name val="Trebuchet MS"/>
      <family val="2"/>
    </font>
    <font>
      <b/>
      <sz val="11"/>
      <color indexed="8"/>
      <name val="Calibri"/>
      <family val="2"/>
    </font>
    <font>
      <b/>
      <sz val="10"/>
      <name val="Arial"/>
      <family val="2"/>
    </font>
    <font>
      <u/>
      <sz val="11"/>
      <color theme="10"/>
      <name val="Calibri"/>
      <family val="2"/>
    </font>
  </fonts>
  <fills count="13">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FF00"/>
        <bgColor indexed="64"/>
      </patternFill>
    </fill>
    <fill>
      <patternFill patternType="solid">
        <fgColor indexed="22"/>
        <bgColor indexed="64"/>
      </patternFill>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s>
  <borders count="16">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2" fillId="0" borderId="0"/>
    <xf numFmtId="0" fontId="3" fillId="0" borderId="0"/>
    <xf numFmtId="0" fontId="1" fillId="0" borderId="0"/>
    <xf numFmtId="0" fontId="3" fillId="0" borderId="0"/>
    <xf numFmtId="0" fontId="22" fillId="0" borderId="0" applyNumberFormat="0" applyFill="0" applyBorder="0" applyAlignment="0" applyProtection="0">
      <alignment vertical="top"/>
      <protection locked="0"/>
    </xf>
    <xf numFmtId="0" fontId="2" fillId="0" borderId="0"/>
  </cellStyleXfs>
  <cellXfs count="98">
    <xf numFmtId="0" fontId="0" fillId="0" borderId="0" xfId="0"/>
    <xf numFmtId="0" fontId="8" fillId="2" borderId="4" xfId="0" applyFont="1" applyFill="1" applyBorder="1" applyAlignment="1">
      <alignment horizontal="center" vertical="center" wrapText="1"/>
    </xf>
    <xf numFmtId="0" fontId="6" fillId="0" borderId="0" xfId="0" applyFont="1"/>
    <xf numFmtId="0" fontId="7" fillId="6" borderId="4" xfId="0" applyFont="1" applyFill="1" applyBorder="1" applyAlignment="1">
      <alignment horizontal="center" vertical="center" wrapText="1"/>
    </xf>
    <xf numFmtId="0" fontId="6" fillId="0" borderId="4" xfId="0" applyFont="1" applyBorder="1" applyAlignment="1">
      <alignment horizontal="center"/>
    </xf>
    <xf numFmtId="0" fontId="6" fillId="0" borderId="0" xfId="0" applyFont="1" applyAlignment="1">
      <alignment horizontal="center"/>
    </xf>
    <xf numFmtId="9" fontId="6" fillId="0" borderId="0" xfId="0" applyNumberFormat="1" applyFont="1" applyAlignment="1">
      <alignment horizontal="center"/>
    </xf>
    <xf numFmtId="2" fontId="6" fillId="0" borderId="4" xfId="0" applyNumberFormat="1" applyFont="1" applyBorder="1" applyAlignment="1">
      <alignment horizontal="center"/>
    </xf>
    <xf numFmtId="0" fontId="6" fillId="0" borderId="4" xfId="0" applyFont="1" applyBorder="1" applyAlignment="1">
      <alignment horizontal="right"/>
    </xf>
    <xf numFmtId="0" fontId="12" fillId="0" borderId="4" xfId="0" applyFont="1" applyBorder="1" applyAlignment="1">
      <alignment horizontal="center" vertical="center"/>
    </xf>
    <xf numFmtId="0" fontId="12" fillId="7" borderId="4" xfId="0" applyFont="1" applyFill="1" applyBorder="1" applyAlignment="1">
      <alignment horizontal="center"/>
    </xf>
    <xf numFmtId="0" fontId="10" fillId="2" borderId="4" xfId="0" applyFont="1" applyFill="1" applyBorder="1" applyAlignment="1">
      <alignment horizontal="center" vertical="center"/>
    </xf>
    <xf numFmtId="0" fontId="10" fillId="2" borderId="4" xfId="0" applyFont="1" applyFill="1" applyBorder="1" applyAlignment="1">
      <alignment horizontal="center" vertical="center" wrapText="1"/>
    </xf>
    <xf numFmtId="9" fontId="12" fillId="0" borderId="4" xfId="0" applyNumberFormat="1" applyFont="1" applyBorder="1" applyAlignment="1">
      <alignment horizontal="center" vertical="center"/>
    </xf>
    <xf numFmtId="0" fontId="10" fillId="2" borderId="4" xfId="0" applyFont="1" applyFill="1" applyBorder="1" applyAlignment="1">
      <alignment horizontal="left" vertical="center" wrapText="1"/>
    </xf>
    <xf numFmtId="0" fontId="12" fillId="5" borderId="4" xfId="0" applyFont="1" applyFill="1" applyBorder="1" applyAlignment="1">
      <alignment horizontal="center" vertical="center"/>
    </xf>
    <xf numFmtId="0" fontId="12" fillId="0" borderId="4" xfId="0" applyFont="1" applyBorder="1" applyAlignment="1">
      <alignment horizontal="left" vertical="center"/>
    </xf>
    <xf numFmtId="0" fontId="0" fillId="0" borderId="0" xfId="0" applyBorder="1"/>
    <xf numFmtId="0" fontId="14" fillId="9" borderId="4" xfId="0" applyFont="1" applyFill="1" applyBorder="1" applyAlignment="1">
      <alignment horizontal="center" vertical="center" wrapText="1"/>
    </xf>
    <xf numFmtId="1" fontId="14" fillId="9" borderId="4" xfId="0" applyNumberFormat="1" applyFont="1" applyFill="1" applyBorder="1" applyAlignment="1">
      <alignment horizontal="center" vertical="center" wrapText="1"/>
    </xf>
    <xf numFmtId="0" fontId="13" fillId="0" borderId="0" xfId="0" applyFont="1"/>
    <xf numFmtId="0" fontId="14" fillId="10" borderId="4" xfId="0" applyFont="1" applyFill="1" applyBorder="1" applyAlignment="1">
      <alignment horizontal="left" wrapText="1"/>
    </xf>
    <xf numFmtId="0" fontId="14" fillId="10" borderId="4" xfId="0" applyFont="1" applyFill="1" applyBorder="1" applyAlignment="1">
      <alignment horizontal="center" wrapText="1"/>
    </xf>
    <xf numFmtId="1" fontId="14" fillId="10" borderId="4" xfId="0" applyNumberFormat="1" applyFont="1" applyFill="1" applyBorder="1" applyAlignment="1">
      <alignment horizontal="center" wrapText="1"/>
    </xf>
    <xf numFmtId="0" fontId="0" fillId="0" borderId="4" xfId="0" applyBorder="1" applyAlignment="1">
      <alignment horizontal="center"/>
    </xf>
    <xf numFmtId="0" fontId="0" fillId="0" borderId="4" xfId="0" applyBorder="1"/>
    <xf numFmtId="1" fontId="14" fillId="11" borderId="4" xfId="0" applyNumberFormat="1" applyFont="1" applyFill="1" applyBorder="1" applyAlignment="1">
      <alignment horizontal="center" wrapText="1"/>
    </xf>
    <xf numFmtId="0" fontId="15" fillId="0" borderId="4" xfId="0" applyFont="1" applyFill="1" applyBorder="1" applyAlignment="1">
      <alignment horizontal="left" vertical="top" wrapText="1"/>
    </xf>
    <xf numFmtId="0" fontId="15" fillId="0" borderId="4" xfId="0" applyFont="1" applyFill="1" applyBorder="1" applyAlignment="1">
      <alignment horizontal="center" vertical="top" wrapText="1"/>
    </xf>
    <xf numFmtId="1" fontId="0" fillId="0" borderId="4" xfId="0" applyNumberFormat="1" applyFont="1" applyBorder="1" applyAlignment="1">
      <alignment horizontal="center"/>
    </xf>
    <xf numFmtId="1" fontId="0" fillId="0" borderId="4" xfId="0" applyNumberFormat="1" applyBorder="1" applyAlignment="1">
      <alignment horizontal="center"/>
    </xf>
    <xf numFmtId="0" fontId="16" fillId="0" borderId="4" xfId="0" applyFont="1" applyFill="1" applyBorder="1" applyAlignment="1">
      <alignment horizontal="left" wrapText="1"/>
    </xf>
    <xf numFmtId="0" fontId="16" fillId="0" borderId="4" xfId="0" applyFont="1" applyFill="1" applyBorder="1" applyAlignment="1">
      <alignment horizontal="center" wrapText="1"/>
    </xf>
    <xf numFmtId="0" fontId="17" fillId="0" borderId="0" xfId="0" applyFont="1" applyBorder="1"/>
    <xf numFmtId="9" fontId="15" fillId="4" borderId="4" xfId="0" applyNumberFormat="1" applyFont="1" applyFill="1" applyBorder="1" applyAlignment="1">
      <alignment horizontal="center"/>
    </xf>
    <xf numFmtId="0" fontId="19" fillId="0" borderId="4" xfId="0" applyFont="1" applyFill="1" applyBorder="1" applyAlignment="1">
      <alignment horizontal="left" wrapText="1"/>
    </xf>
    <xf numFmtId="0" fontId="19" fillId="0" borderId="4" xfId="0" applyFont="1" applyFill="1" applyBorder="1" applyAlignment="1">
      <alignment horizontal="center" wrapText="1"/>
    </xf>
    <xf numFmtId="0" fontId="20" fillId="0" borderId="0" xfId="0" applyFont="1" applyBorder="1"/>
    <xf numFmtId="0" fontId="0" fillId="3" borderId="4" xfId="0" applyFill="1" applyBorder="1" applyAlignment="1">
      <alignment horizontal="center"/>
    </xf>
    <xf numFmtId="9" fontId="15" fillId="0" borderId="4" xfId="0" applyNumberFormat="1" applyFont="1" applyBorder="1" applyAlignment="1">
      <alignment horizontal="center"/>
    </xf>
    <xf numFmtId="0" fontId="19" fillId="0" borderId="4" xfId="0" applyFont="1" applyFill="1" applyBorder="1" applyAlignment="1">
      <alignment horizontal="left" vertical="top" wrapText="1"/>
    </xf>
    <xf numFmtId="0" fontId="19" fillId="0" borderId="4" xfId="0" applyFont="1" applyFill="1" applyBorder="1" applyAlignment="1">
      <alignment horizontal="center" vertical="top" wrapText="1"/>
    </xf>
    <xf numFmtId="0" fontId="14" fillId="11" borderId="4" xfId="0" applyFont="1" applyFill="1" applyBorder="1" applyAlignment="1">
      <alignment horizontal="center"/>
    </xf>
    <xf numFmtId="0" fontId="14" fillId="11" borderId="4" xfId="0" applyFont="1" applyFill="1" applyBorder="1" applyAlignment="1">
      <alignment horizontal="left"/>
    </xf>
    <xf numFmtId="1" fontId="14" fillId="11" borderId="4" xfId="0" applyNumberFormat="1" applyFont="1" applyFill="1" applyBorder="1" applyAlignment="1">
      <alignment horizontal="center"/>
    </xf>
    <xf numFmtId="1" fontId="9" fillId="4" borderId="4" xfId="0" applyNumberFormat="1" applyFont="1" applyFill="1" applyBorder="1" applyAlignment="1">
      <alignment horizontal="center"/>
    </xf>
    <xf numFmtId="1" fontId="0" fillId="0" borderId="0" xfId="0" applyNumberFormat="1"/>
    <xf numFmtId="9" fontId="15" fillId="12" borderId="4" xfId="0" applyNumberFormat="1" applyFont="1" applyFill="1" applyBorder="1" applyAlignment="1">
      <alignment horizontal="center"/>
    </xf>
    <xf numFmtId="1" fontId="20" fillId="4" borderId="10" xfId="0" applyNumberFormat="1" applyFont="1" applyFill="1" applyBorder="1" applyAlignment="1">
      <alignment horizontal="center"/>
    </xf>
    <xf numFmtId="0" fontId="9" fillId="8" borderId="1" xfId="0" applyFont="1" applyFill="1" applyBorder="1" applyAlignment="1">
      <alignment horizontal="center"/>
    </xf>
    <xf numFmtId="0" fontId="9" fillId="8" borderId="2" xfId="0" applyFont="1" applyFill="1" applyBorder="1" applyAlignment="1">
      <alignment horizontal="center"/>
    </xf>
    <xf numFmtId="0" fontId="14" fillId="9" borderId="5" xfId="0" applyNumberFormat="1" applyFont="1" applyFill="1" applyBorder="1" applyAlignment="1">
      <alignment horizontal="left" vertical="center"/>
    </xf>
    <xf numFmtId="1" fontId="14" fillId="9" borderId="6" xfId="0" applyNumberFormat="1" applyFont="1" applyFill="1" applyBorder="1" applyAlignment="1">
      <alignment horizontal="center" vertical="center" wrapText="1"/>
    </xf>
    <xf numFmtId="0" fontId="14" fillId="10" borderId="5" xfId="0" applyNumberFormat="1" applyFont="1" applyFill="1" applyBorder="1" applyAlignment="1">
      <alignment horizontal="center"/>
    </xf>
    <xf numFmtId="1" fontId="14" fillId="10" borderId="6" xfId="0" applyNumberFormat="1" applyFont="1" applyFill="1" applyBorder="1" applyAlignment="1">
      <alignment horizontal="center" wrapText="1"/>
    </xf>
    <xf numFmtId="0" fontId="0" fillId="0" borderId="5" xfId="0" applyBorder="1" applyAlignment="1">
      <alignment horizontal="center"/>
    </xf>
    <xf numFmtId="1" fontId="14" fillId="11" borderId="6" xfId="0" applyNumberFormat="1" applyFont="1" applyFill="1" applyBorder="1" applyAlignment="1">
      <alignment horizontal="center" wrapText="1"/>
    </xf>
    <xf numFmtId="0" fontId="15" fillId="0" borderId="5" xfId="0" applyNumberFormat="1" applyFont="1" applyBorder="1" applyAlignment="1">
      <alignment horizontal="center"/>
    </xf>
    <xf numFmtId="1" fontId="0" fillId="0" borderId="6" xfId="0" applyNumberFormat="1" applyBorder="1" applyAlignment="1">
      <alignment horizontal="center"/>
    </xf>
    <xf numFmtId="0" fontId="19" fillId="0" borderId="5" xfId="0" applyNumberFormat="1" applyFont="1" applyBorder="1" applyAlignment="1">
      <alignment horizontal="center"/>
    </xf>
    <xf numFmtId="49" fontId="19" fillId="0" borderId="5" xfId="0" applyNumberFormat="1" applyFont="1" applyBorder="1" applyAlignment="1">
      <alignment horizontal="center"/>
    </xf>
    <xf numFmtId="0" fontId="14" fillId="11" borderId="5" xfId="0" applyFont="1" applyFill="1" applyBorder="1" applyAlignment="1">
      <alignment horizontal="center"/>
    </xf>
    <xf numFmtId="0" fontId="0" fillId="0" borderId="5" xfId="0" applyBorder="1"/>
    <xf numFmtId="0" fontId="0" fillId="0" borderId="7" xfId="0" applyBorder="1"/>
    <xf numFmtId="0" fontId="0" fillId="0" borderId="8" xfId="0" applyBorder="1"/>
    <xf numFmtId="1" fontId="0" fillId="0" borderId="8" xfId="0" applyNumberFormat="1" applyBorder="1"/>
    <xf numFmtId="1" fontId="0" fillId="0" borderId="9" xfId="0" applyNumberFormat="1" applyBorder="1"/>
    <xf numFmtId="1" fontId="20" fillId="4" borderId="13" xfId="0" applyNumberFormat="1" applyFont="1" applyFill="1" applyBorder="1" applyAlignment="1">
      <alignment horizontal="center"/>
    </xf>
    <xf numFmtId="1" fontId="9" fillId="4" borderId="6" xfId="0" applyNumberFormat="1" applyFont="1" applyFill="1" applyBorder="1" applyAlignment="1">
      <alignment horizontal="center"/>
    </xf>
    <xf numFmtId="1" fontId="20" fillId="4" borderId="8" xfId="0" applyNumberFormat="1" applyFont="1" applyFill="1" applyBorder="1" applyAlignment="1">
      <alignment horizontal="center"/>
    </xf>
    <xf numFmtId="1" fontId="20" fillId="4" borderId="9" xfId="0" applyNumberFormat="1" applyFont="1" applyFill="1" applyBorder="1" applyAlignment="1">
      <alignment horizontal="center"/>
    </xf>
    <xf numFmtId="0" fontId="0" fillId="0" borderId="0" xfId="0" applyBorder="1" applyAlignment="1">
      <alignment horizontal="center"/>
    </xf>
    <xf numFmtId="1" fontId="12" fillId="0" borderId="4" xfId="0" applyNumberFormat="1" applyFont="1" applyBorder="1" applyAlignment="1">
      <alignment horizontal="center" vertical="center"/>
    </xf>
    <xf numFmtId="0" fontId="12" fillId="0" borderId="4" xfId="0" applyFont="1" applyBorder="1" applyAlignment="1">
      <alignment horizontal="left" vertical="center" wrapText="1" indent="2"/>
    </xf>
    <xf numFmtId="0" fontId="12" fillId="7" borderId="4" xfId="0" applyFont="1" applyFill="1" applyBorder="1" applyAlignment="1">
      <alignment horizontal="right"/>
    </xf>
    <xf numFmtId="0" fontId="6" fillId="0" borderId="4" xfId="0" applyFont="1" applyBorder="1"/>
    <xf numFmtId="0" fontId="10" fillId="5" borderId="4" xfId="0" applyFont="1" applyFill="1" applyBorder="1" applyAlignment="1">
      <alignment horizontal="center" vertical="top" wrapText="1"/>
    </xf>
    <xf numFmtId="0" fontId="12" fillId="0" borderId="4" xfId="0" applyFont="1" applyBorder="1" applyAlignment="1">
      <alignment vertical="top" wrapText="1"/>
    </xf>
    <xf numFmtId="0" fontId="12" fillId="0" borderId="11" xfId="0" applyFont="1" applyBorder="1" applyAlignment="1">
      <alignment vertical="top" wrapText="1"/>
    </xf>
    <xf numFmtId="0" fontId="12" fillId="0" borderId="0" xfId="0" applyFont="1" applyFill="1" applyBorder="1" applyAlignment="1">
      <alignment vertical="top" wrapText="1"/>
    </xf>
    <xf numFmtId="0" fontId="18" fillId="11" borderId="4" xfId="0" applyFont="1" applyFill="1" applyBorder="1" applyAlignment="1">
      <alignment horizontal="left" vertical="center" wrapText="1"/>
    </xf>
    <xf numFmtId="0" fontId="18" fillId="12" borderId="4" xfId="0" applyFont="1" applyFill="1" applyBorder="1" applyAlignment="1">
      <alignment horizontal="left" vertical="center" wrapText="1"/>
    </xf>
    <xf numFmtId="1" fontId="9" fillId="8" borderId="2" xfId="0" applyNumberFormat="1" applyFont="1" applyFill="1" applyBorder="1" applyAlignment="1">
      <alignment horizontal="center"/>
    </xf>
    <xf numFmtId="1" fontId="9" fillId="8" borderId="3" xfId="0" applyNumberFormat="1" applyFont="1" applyFill="1" applyBorder="1" applyAlignment="1">
      <alignment horizontal="center"/>
    </xf>
    <xf numFmtId="0" fontId="15" fillId="4" borderId="4" xfId="0" applyFont="1" applyFill="1" applyBorder="1" applyAlignment="1">
      <alignment horizontal="center"/>
    </xf>
    <xf numFmtId="0" fontId="18" fillId="3" borderId="4" xfId="0" applyFont="1" applyFill="1" applyBorder="1" applyAlignment="1">
      <alignment horizontal="center" vertical="center" wrapText="1"/>
    </xf>
    <xf numFmtId="0" fontId="21" fillId="4" borderId="14" xfId="0" applyFont="1" applyFill="1" applyBorder="1" applyAlignment="1">
      <alignment horizontal="right" vertical="top" wrapText="1"/>
    </xf>
    <xf numFmtId="0" fontId="21" fillId="4" borderId="15" xfId="0" applyFont="1" applyFill="1" applyBorder="1" applyAlignment="1">
      <alignment horizontal="right" vertical="top" wrapText="1"/>
    </xf>
    <xf numFmtId="0" fontId="18" fillId="11" borderId="4" xfId="0" applyFont="1" applyFill="1" applyBorder="1" applyAlignment="1">
      <alignment horizontal="left" vertical="center" wrapText="1" indent="2"/>
    </xf>
    <xf numFmtId="0" fontId="9" fillId="4" borderId="12" xfId="0" applyFont="1" applyFill="1" applyBorder="1" applyAlignment="1">
      <alignment horizontal="right"/>
    </xf>
    <xf numFmtId="0" fontId="9" fillId="4" borderId="10" xfId="0" applyFont="1" applyFill="1" applyBorder="1" applyAlignment="1">
      <alignment horizontal="right"/>
    </xf>
    <xf numFmtId="0" fontId="9" fillId="4" borderId="5" xfId="0" applyFont="1" applyFill="1" applyBorder="1" applyAlignment="1">
      <alignment horizontal="right"/>
    </xf>
    <xf numFmtId="0" fontId="9" fillId="4" borderId="4" xfId="0" applyFont="1" applyFill="1" applyBorder="1" applyAlignment="1">
      <alignment horizontal="right"/>
    </xf>
    <xf numFmtId="0" fontId="12" fillId="7" borderId="4" xfId="0" applyFont="1" applyFill="1" applyBorder="1" applyAlignment="1">
      <alignment horizontal="right"/>
    </xf>
    <xf numFmtId="0" fontId="10" fillId="4" borderId="4" xfId="0" applyFont="1" applyFill="1" applyBorder="1" applyAlignment="1">
      <alignment horizontal="center"/>
    </xf>
    <xf numFmtId="0" fontId="11" fillId="5" borderId="1" xfId="0" applyFont="1" applyFill="1" applyBorder="1" applyAlignment="1">
      <alignment horizontal="center"/>
    </xf>
    <xf numFmtId="0" fontId="11" fillId="5" borderId="2" xfId="0" applyFont="1" applyFill="1" applyBorder="1" applyAlignment="1">
      <alignment horizontal="center"/>
    </xf>
    <xf numFmtId="0" fontId="11" fillId="5" borderId="3" xfId="0" applyFont="1" applyFill="1" applyBorder="1" applyAlignment="1">
      <alignment horizontal="center"/>
    </xf>
  </cellXfs>
  <cellStyles count="7">
    <cellStyle name="Hyperlink 2" xfId="5"/>
    <cellStyle name="Normal" xfId="0" builtinId="0"/>
    <cellStyle name="Normal 2" xfId="1"/>
    <cellStyle name="Normal 2 2" xfId="2"/>
    <cellStyle name="Normal 3" xfId="3"/>
    <cellStyle name="Normal 3 2" xfId="6"/>
    <cellStyle name="Normal 5"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9"/>
  <sheetViews>
    <sheetView topLeftCell="A10" zoomScale="85" zoomScaleNormal="85" workbookViewId="0">
      <selection activeCell="C10" sqref="C10"/>
    </sheetView>
  </sheetViews>
  <sheetFormatPr defaultColWidth="13.5703125" defaultRowHeight="15" x14ac:dyDescent="0.25"/>
  <cols>
    <col min="1" max="1" width="7.28515625" customWidth="1"/>
    <col min="2" max="2" width="34.7109375" bestFit="1" customWidth="1"/>
    <col min="3" max="3" width="7.85546875" bestFit="1" customWidth="1"/>
    <col min="4" max="5" width="6.85546875" style="46" customWidth="1"/>
    <col min="6" max="6" width="8.7109375" style="17" customWidth="1"/>
    <col min="7" max="7" width="6" customWidth="1"/>
    <col min="8" max="8" width="9.140625" customWidth="1"/>
    <col min="9" max="9" width="13.7109375" customWidth="1"/>
    <col min="10" max="234" width="9.140625" customWidth="1"/>
    <col min="235" max="235" width="7.28515625" customWidth="1"/>
    <col min="236" max="236" width="68.42578125" customWidth="1"/>
    <col min="237" max="237" width="18.85546875" customWidth="1"/>
  </cols>
  <sheetData>
    <row r="1" spans="1:13" ht="15.75" x14ac:dyDescent="0.3">
      <c r="A1" s="49" t="s">
        <v>29</v>
      </c>
      <c r="B1" s="50" t="s">
        <v>30</v>
      </c>
      <c r="C1" s="82" t="s">
        <v>31</v>
      </c>
      <c r="D1" s="82"/>
      <c r="E1" s="83"/>
      <c r="H1" s="84" t="s">
        <v>18</v>
      </c>
      <c r="I1" s="84"/>
      <c r="J1" s="34">
        <v>0.15</v>
      </c>
    </row>
    <row r="2" spans="1:13" x14ac:dyDescent="0.25">
      <c r="A2" s="51" t="s">
        <v>32</v>
      </c>
      <c r="B2" s="18" t="s">
        <v>33</v>
      </c>
      <c r="C2" s="18" t="s">
        <v>34</v>
      </c>
      <c r="D2" s="19" t="s">
        <v>19</v>
      </c>
      <c r="E2" s="52" t="s">
        <v>20</v>
      </c>
      <c r="H2" s="85" t="s">
        <v>1</v>
      </c>
      <c r="I2" s="85"/>
      <c r="J2" s="38" t="s">
        <v>36</v>
      </c>
    </row>
    <row r="3" spans="1:13" ht="15.75" x14ac:dyDescent="0.3">
      <c r="A3" s="53">
        <v>1</v>
      </c>
      <c r="B3" s="21" t="s">
        <v>35</v>
      </c>
      <c r="C3" s="22">
        <f>C7*J3</f>
        <v>69.059999999999988</v>
      </c>
      <c r="D3" s="23">
        <f>C3/8</f>
        <v>8.6324999999999985</v>
      </c>
      <c r="E3" s="54">
        <f>D3/5</f>
        <v>1.7264999999999997</v>
      </c>
      <c r="H3" s="80" t="s">
        <v>37</v>
      </c>
      <c r="I3" s="80"/>
      <c r="J3" s="39">
        <v>0.15</v>
      </c>
    </row>
    <row r="4" spans="1:13" ht="15.75" x14ac:dyDescent="0.3">
      <c r="A4" s="55"/>
      <c r="B4" s="25"/>
      <c r="C4" s="24"/>
      <c r="D4" s="26"/>
      <c r="E4" s="56"/>
      <c r="H4" s="80" t="s">
        <v>6</v>
      </c>
      <c r="I4" s="80"/>
      <c r="J4" s="39">
        <v>0.15</v>
      </c>
    </row>
    <row r="5" spans="1:13" ht="15.75" x14ac:dyDescent="0.3">
      <c r="A5" s="53">
        <v>2</v>
      </c>
      <c r="B5" s="21" t="s">
        <v>24</v>
      </c>
      <c r="C5" s="22">
        <f>C7*J4</f>
        <v>69.059999999999988</v>
      </c>
      <c r="D5" s="23">
        <f>C5/8</f>
        <v>8.6324999999999985</v>
      </c>
      <c r="E5" s="54">
        <f>D5/5</f>
        <v>1.7264999999999997</v>
      </c>
      <c r="H5" s="80" t="s">
        <v>47</v>
      </c>
      <c r="I5" s="80"/>
      <c r="J5" s="39">
        <v>0.1</v>
      </c>
    </row>
    <row r="6" spans="1:13" ht="15.75" x14ac:dyDescent="0.3">
      <c r="A6" s="57"/>
      <c r="B6" s="27"/>
      <c r="C6" s="28"/>
      <c r="D6" s="29"/>
      <c r="E6" s="58"/>
      <c r="H6" s="80" t="s">
        <v>38</v>
      </c>
      <c r="I6" s="80"/>
      <c r="J6" s="39">
        <v>0</v>
      </c>
    </row>
    <row r="7" spans="1:13" ht="15.75" x14ac:dyDescent="0.3">
      <c r="A7" s="53">
        <v>3</v>
      </c>
      <c r="B7" s="21" t="s">
        <v>15</v>
      </c>
      <c r="C7" s="23">
        <f>Inventory_List!G23</f>
        <v>460.4</v>
      </c>
      <c r="D7" s="23">
        <f>C7/8</f>
        <v>57.55</v>
      </c>
      <c r="E7" s="54">
        <f>D7/5</f>
        <v>11.51</v>
      </c>
      <c r="H7" s="80" t="s">
        <v>39</v>
      </c>
      <c r="I7" s="80"/>
      <c r="J7" s="39">
        <v>0</v>
      </c>
    </row>
    <row r="8" spans="1:13" ht="15.75" x14ac:dyDescent="0.3">
      <c r="A8" s="57"/>
      <c r="B8" s="31"/>
      <c r="C8" s="32"/>
      <c r="D8" s="29"/>
      <c r="E8" s="58"/>
      <c r="H8" s="81" t="s">
        <v>48</v>
      </c>
      <c r="I8" s="81"/>
      <c r="J8" s="47"/>
    </row>
    <row r="9" spans="1:13" s="20" customFormat="1" ht="15.75" x14ac:dyDescent="0.3">
      <c r="A9" s="53">
        <v>4</v>
      </c>
      <c r="B9" s="21" t="s">
        <v>47</v>
      </c>
      <c r="C9" s="22">
        <f>C7*J5</f>
        <v>46.04</v>
      </c>
      <c r="D9" s="23">
        <f>C9/8</f>
        <v>5.7549999999999999</v>
      </c>
      <c r="E9" s="54">
        <f>D9/5</f>
        <v>1.151</v>
      </c>
      <c r="F9" s="33"/>
      <c r="H9" s="88" t="s">
        <v>6</v>
      </c>
      <c r="I9" s="88"/>
      <c r="J9" s="39">
        <v>0</v>
      </c>
      <c r="M9"/>
    </row>
    <row r="10" spans="1:13" ht="15.75" x14ac:dyDescent="0.3">
      <c r="A10" s="59"/>
      <c r="B10" s="35"/>
      <c r="C10" s="36"/>
      <c r="D10" s="29"/>
      <c r="E10" s="58"/>
      <c r="F10" s="37"/>
      <c r="H10" s="88" t="s">
        <v>49</v>
      </c>
      <c r="I10" s="88"/>
      <c r="J10" s="39">
        <v>0</v>
      </c>
    </row>
    <row r="11" spans="1:13" ht="15.75" x14ac:dyDescent="0.3">
      <c r="A11" s="53">
        <v>5</v>
      </c>
      <c r="B11" s="21" t="s">
        <v>55</v>
      </c>
      <c r="C11" s="22">
        <v>0</v>
      </c>
      <c r="D11" s="23">
        <f>C11/8</f>
        <v>0</v>
      </c>
      <c r="E11" s="54">
        <f>D11/5</f>
        <v>0</v>
      </c>
      <c r="F11" s="37"/>
      <c r="H11" s="88" t="s">
        <v>44</v>
      </c>
      <c r="I11" s="88"/>
      <c r="J11" s="39">
        <v>0</v>
      </c>
    </row>
    <row r="12" spans="1:13" ht="15.75" customHeight="1" x14ac:dyDescent="0.3">
      <c r="A12" s="55"/>
      <c r="B12" s="40"/>
      <c r="C12" s="41"/>
      <c r="D12" s="30"/>
      <c r="E12" s="58"/>
      <c r="H12" s="81" t="s">
        <v>50</v>
      </c>
      <c r="I12" s="81"/>
      <c r="J12" s="47"/>
    </row>
    <row r="13" spans="1:13" ht="15.75" x14ac:dyDescent="0.3">
      <c r="A13" s="53">
        <v>6</v>
      </c>
      <c r="B13" s="21" t="s">
        <v>63</v>
      </c>
      <c r="C13" s="22">
        <f>(C7*J6)+(C7*J13)+(C7*J14)+(C7*J15)</f>
        <v>0</v>
      </c>
      <c r="D13" s="23">
        <f>C13/8</f>
        <v>0</v>
      </c>
      <c r="E13" s="54">
        <f>D13/5</f>
        <v>0</v>
      </c>
      <c r="H13" s="88" t="s">
        <v>51</v>
      </c>
      <c r="I13" s="88"/>
      <c r="J13" s="39">
        <v>0</v>
      </c>
    </row>
    <row r="14" spans="1:13" ht="15.75" x14ac:dyDescent="0.3">
      <c r="A14" s="60"/>
      <c r="B14" s="40"/>
      <c r="C14" s="41"/>
      <c r="D14" s="30"/>
      <c r="E14" s="58"/>
      <c r="H14" s="88" t="s">
        <v>52</v>
      </c>
      <c r="I14" s="88"/>
      <c r="J14" s="39">
        <v>0</v>
      </c>
    </row>
    <row r="15" spans="1:13" ht="15.75" customHeight="1" x14ac:dyDescent="0.3">
      <c r="A15" s="53">
        <v>7</v>
      </c>
      <c r="B15" s="21" t="s">
        <v>56</v>
      </c>
      <c r="C15" s="22"/>
      <c r="D15" s="23"/>
      <c r="E15" s="54"/>
      <c r="H15" s="88" t="s">
        <v>44</v>
      </c>
      <c r="I15" s="88"/>
      <c r="J15" s="39">
        <v>0</v>
      </c>
    </row>
    <row r="16" spans="1:13" ht="15.75" x14ac:dyDescent="0.3">
      <c r="A16" s="55"/>
      <c r="B16" s="40"/>
      <c r="C16" s="41"/>
      <c r="D16" s="30"/>
      <c r="E16" s="58"/>
      <c r="H16" s="81" t="s">
        <v>53</v>
      </c>
      <c r="I16" s="81"/>
      <c r="J16" s="39">
        <v>0</v>
      </c>
    </row>
    <row r="17" spans="1:10" ht="15.75" x14ac:dyDescent="0.3">
      <c r="A17" s="53">
        <v>8</v>
      </c>
      <c r="B17" s="21" t="s">
        <v>39</v>
      </c>
      <c r="C17" s="22">
        <f>C7*J7</f>
        <v>0</v>
      </c>
      <c r="D17" s="23">
        <f>C17/8</f>
        <v>0</v>
      </c>
      <c r="E17" s="54">
        <f>D17/5</f>
        <v>0</v>
      </c>
      <c r="H17" s="81" t="s">
        <v>45</v>
      </c>
      <c r="I17" s="81"/>
      <c r="J17" s="39">
        <v>0</v>
      </c>
    </row>
    <row r="18" spans="1:10" ht="15.75" x14ac:dyDescent="0.3">
      <c r="A18" s="59"/>
      <c r="B18" s="25"/>
      <c r="C18" s="24"/>
      <c r="D18" s="30"/>
      <c r="E18" s="58"/>
      <c r="H18" s="81" t="s">
        <v>46</v>
      </c>
      <c r="I18" s="81"/>
      <c r="J18" s="39">
        <v>0</v>
      </c>
    </row>
    <row r="19" spans="1:10" ht="15.75" x14ac:dyDescent="0.3">
      <c r="A19" s="53">
        <v>9</v>
      </c>
      <c r="B19" s="21" t="s">
        <v>57</v>
      </c>
      <c r="C19" s="22"/>
      <c r="D19" s="23"/>
      <c r="E19" s="54"/>
      <c r="H19" s="81" t="s">
        <v>54</v>
      </c>
      <c r="I19" s="81"/>
      <c r="J19" s="39">
        <v>0.1</v>
      </c>
    </row>
    <row r="20" spans="1:10" ht="15.75" x14ac:dyDescent="0.3">
      <c r="A20" s="61"/>
      <c r="B20" s="43"/>
      <c r="C20" s="42"/>
      <c r="D20" s="44"/>
      <c r="E20" s="56"/>
      <c r="H20" s="81" t="s">
        <v>59</v>
      </c>
      <c r="I20" s="81"/>
      <c r="J20" s="39">
        <v>0.1</v>
      </c>
    </row>
    <row r="21" spans="1:10" ht="15.75" x14ac:dyDescent="0.3">
      <c r="A21" s="53">
        <v>10</v>
      </c>
      <c r="B21" s="21" t="s">
        <v>58</v>
      </c>
      <c r="C21" s="22">
        <f>C7*J21</f>
        <v>0</v>
      </c>
      <c r="D21" s="23">
        <f>C21/8</f>
        <v>0</v>
      </c>
      <c r="E21" s="54">
        <f>D21/5</f>
        <v>0</v>
      </c>
      <c r="H21" s="81" t="s">
        <v>40</v>
      </c>
      <c r="I21" s="81"/>
      <c r="J21" s="39">
        <v>0</v>
      </c>
    </row>
    <row r="22" spans="1:10" x14ac:dyDescent="0.25">
      <c r="A22" s="62"/>
      <c r="B22" s="25"/>
      <c r="C22" s="24"/>
      <c r="D22" s="30"/>
      <c r="E22" s="58"/>
      <c r="G22" s="71"/>
    </row>
    <row r="23" spans="1:10" ht="15.75" x14ac:dyDescent="0.3">
      <c r="A23" s="53">
        <v>11</v>
      </c>
      <c r="B23" s="21" t="s">
        <v>46</v>
      </c>
      <c r="C23" s="22">
        <f>C7*J18</f>
        <v>0</v>
      </c>
      <c r="D23" s="23">
        <f>C23/8</f>
        <v>0</v>
      </c>
      <c r="E23" s="54">
        <f>D23/5</f>
        <v>0</v>
      </c>
      <c r="G23" s="71"/>
    </row>
    <row r="24" spans="1:10" ht="15.75" thickBot="1" x14ac:dyDescent="0.3">
      <c r="A24" s="63"/>
      <c r="B24" s="64"/>
      <c r="C24" s="64"/>
      <c r="D24" s="65"/>
      <c r="E24" s="66"/>
      <c r="G24" s="71"/>
    </row>
    <row r="25" spans="1:10" ht="15.75" customHeight="1" x14ac:dyDescent="0.25">
      <c r="A25" s="89" t="s">
        <v>41</v>
      </c>
      <c r="B25" s="90"/>
      <c r="C25" s="48">
        <f>SUM(C3:C24)</f>
        <v>644.55999999999995</v>
      </c>
      <c r="D25" s="48">
        <f>SUM(D3:D24)</f>
        <v>80.569999999999993</v>
      </c>
      <c r="E25" s="67">
        <f>SUM(E3:E24)</f>
        <v>16.114000000000001</v>
      </c>
      <c r="G25" s="71"/>
    </row>
    <row r="26" spans="1:10" x14ac:dyDescent="0.25">
      <c r="A26" s="91" t="s">
        <v>42</v>
      </c>
      <c r="B26" s="92"/>
      <c r="C26" s="45">
        <f>C25*J1</f>
        <v>96.683999999999983</v>
      </c>
      <c r="D26" s="45">
        <f>D25*J1</f>
        <v>12.085499999999998</v>
      </c>
      <c r="E26" s="68">
        <f>E25*J1</f>
        <v>2.4171</v>
      </c>
      <c r="G26" s="71"/>
    </row>
    <row r="27" spans="1:10" ht="15.75" thickBot="1" x14ac:dyDescent="0.3">
      <c r="A27" s="86" t="s">
        <v>43</v>
      </c>
      <c r="B27" s="87"/>
      <c r="C27" s="69">
        <f>SUM(C25:C26)</f>
        <v>741.24399999999991</v>
      </c>
      <c r="D27" s="69">
        <f>SUM(D25:D26)</f>
        <v>92.655499999999989</v>
      </c>
      <c r="E27" s="70">
        <f>SUM(E25:E26)</f>
        <v>18.531100000000002</v>
      </c>
      <c r="G27" s="71"/>
    </row>
    <row r="28" spans="1:10" x14ac:dyDescent="0.25">
      <c r="D28"/>
      <c r="E28"/>
    </row>
    <row r="29" spans="1:10" x14ac:dyDescent="0.25">
      <c r="D29"/>
      <c r="E29"/>
    </row>
    <row r="30" spans="1:10" x14ac:dyDescent="0.25">
      <c r="D30"/>
      <c r="E30"/>
    </row>
    <row r="31" spans="1:10" x14ac:dyDescent="0.25">
      <c r="D31"/>
      <c r="E31"/>
    </row>
    <row r="32" spans="1:10" x14ac:dyDescent="0.25">
      <c r="D32"/>
      <c r="E32"/>
    </row>
    <row r="33" spans="4:5" x14ac:dyDescent="0.25">
      <c r="D33"/>
      <c r="E33"/>
    </row>
    <row r="34" spans="4:5" x14ac:dyDescent="0.25">
      <c r="D34"/>
      <c r="E34"/>
    </row>
    <row r="35" spans="4:5" x14ac:dyDescent="0.25">
      <c r="D35"/>
      <c r="E35"/>
    </row>
    <row r="36" spans="4:5" x14ac:dyDescent="0.25">
      <c r="D36"/>
      <c r="E36"/>
    </row>
    <row r="37" spans="4:5" x14ac:dyDescent="0.25">
      <c r="D37"/>
      <c r="E37"/>
    </row>
    <row r="38" spans="4:5" x14ac:dyDescent="0.25">
      <c r="D38"/>
      <c r="E38"/>
    </row>
    <row r="39" spans="4:5" x14ac:dyDescent="0.25">
      <c r="D39"/>
      <c r="E39"/>
    </row>
    <row r="40" spans="4:5" x14ac:dyDescent="0.25">
      <c r="D40"/>
      <c r="E40"/>
    </row>
    <row r="41" spans="4:5" x14ac:dyDescent="0.25">
      <c r="D41"/>
      <c r="E41"/>
    </row>
    <row r="42" spans="4:5" x14ac:dyDescent="0.25">
      <c r="D42"/>
      <c r="E42"/>
    </row>
    <row r="43" spans="4:5" x14ac:dyDescent="0.25">
      <c r="D43"/>
      <c r="E43"/>
    </row>
    <row r="44" spans="4:5" x14ac:dyDescent="0.25">
      <c r="D44"/>
      <c r="E44"/>
    </row>
    <row r="45" spans="4:5" x14ac:dyDescent="0.25">
      <c r="D45"/>
      <c r="E45"/>
    </row>
    <row r="46" spans="4:5" x14ac:dyDescent="0.25">
      <c r="D46"/>
      <c r="E46"/>
    </row>
    <row r="47" spans="4:5" x14ac:dyDescent="0.25">
      <c r="D47"/>
      <c r="E47"/>
    </row>
    <row r="48" spans="4:5" x14ac:dyDescent="0.25">
      <c r="D48"/>
      <c r="E48"/>
    </row>
    <row r="49" spans="4:5" x14ac:dyDescent="0.25">
      <c r="D49"/>
      <c r="E49"/>
    </row>
    <row r="50" spans="4:5" x14ac:dyDescent="0.25">
      <c r="D50"/>
      <c r="E50"/>
    </row>
    <row r="51" spans="4:5" x14ac:dyDescent="0.25">
      <c r="D51"/>
      <c r="E51"/>
    </row>
    <row r="52" spans="4:5" x14ac:dyDescent="0.25">
      <c r="D52"/>
      <c r="E52"/>
    </row>
    <row r="53" spans="4:5" x14ac:dyDescent="0.25">
      <c r="D53"/>
      <c r="E53"/>
    </row>
    <row r="54" spans="4:5" x14ac:dyDescent="0.25">
      <c r="D54"/>
      <c r="E54"/>
    </row>
    <row r="55" spans="4:5" x14ac:dyDescent="0.25">
      <c r="D55"/>
      <c r="E55"/>
    </row>
    <row r="56" spans="4:5" x14ac:dyDescent="0.25">
      <c r="D56"/>
      <c r="E56"/>
    </row>
    <row r="57" spans="4:5" x14ac:dyDescent="0.25">
      <c r="D57"/>
      <c r="E57"/>
    </row>
    <row r="58" spans="4:5" x14ac:dyDescent="0.25">
      <c r="D58"/>
      <c r="E58"/>
    </row>
    <row r="59" spans="4:5" x14ac:dyDescent="0.25">
      <c r="D59"/>
      <c r="E59"/>
    </row>
    <row r="60" spans="4:5" x14ac:dyDescent="0.25">
      <c r="D60"/>
      <c r="E60"/>
    </row>
    <row r="61" spans="4:5" x14ac:dyDescent="0.25">
      <c r="D61"/>
      <c r="E61"/>
    </row>
    <row r="62" spans="4:5" x14ac:dyDescent="0.25">
      <c r="D62"/>
      <c r="E62"/>
    </row>
    <row r="63" spans="4:5" x14ac:dyDescent="0.25">
      <c r="D63"/>
      <c r="E63"/>
    </row>
    <row r="64" spans="4:5" x14ac:dyDescent="0.25">
      <c r="D64"/>
      <c r="E64"/>
    </row>
    <row r="65" spans="4:5" x14ac:dyDescent="0.25">
      <c r="D65"/>
      <c r="E65"/>
    </row>
    <row r="66" spans="4:5" x14ac:dyDescent="0.25">
      <c r="D66"/>
      <c r="E66"/>
    </row>
    <row r="67" spans="4:5" x14ac:dyDescent="0.25">
      <c r="D67"/>
      <c r="E67"/>
    </row>
    <row r="68" spans="4:5" x14ac:dyDescent="0.25">
      <c r="D68"/>
      <c r="E68"/>
    </row>
    <row r="69" spans="4:5" x14ac:dyDescent="0.25">
      <c r="D69"/>
      <c r="E69"/>
    </row>
    <row r="70" spans="4:5" x14ac:dyDescent="0.25">
      <c r="D70"/>
      <c r="E70"/>
    </row>
    <row r="71" spans="4:5" x14ac:dyDescent="0.25">
      <c r="D71"/>
      <c r="E71"/>
    </row>
    <row r="72" spans="4:5" x14ac:dyDescent="0.25">
      <c r="D72"/>
      <c r="E72"/>
    </row>
    <row r="73" spans="4:5" x14ac:dyDescent="0.25">
      <c r="D73"/>
      <c r="E73"/>
    </row>
    <row r="74" spans="4:5" x14ac:dyDescent="0.25">
      <c r="D74"/>
      <c r="E74"/>
    </row>
    <row r="75" spans="4:5" x14ac:dyDescent="0.25">
      <c r="D75"/>
      <c r="E75"/>
    </row>
    <row r="76" spans="4:5" x14ac:dyDescent="0.25">
      <c r="D76"/>
      <c r="E76"/>
    </row>
    <row r="77" spans="4:5" x14ac:dyDescent="0.25">
      <c r="D77"/>
      <c r="E77"/>
    </row>
    <row r="78" spans="4:5" x14ac:dyDescent="0.25">
      <c r="D78"/>
      <c r="E78"/>
    </row>
    <row r="79" spans="4:5" x14ac:dyDescent="0.25">
      <c r="D79"/>
      <c r="E79"/>
    </row>
    <row r="80" spans="4:5" x14ac:dyDescent="0.25">
      <c r="D80"/>
      <c r="E80"/>
    </row>
    <row r="81" spans="4:5" x14ac:dyDescent="0.25">
      <c r="D81"/>
      <c r="E81"/>
    </row>
    <row r="82" spans="4:5" x14ac:dyDescent="0.25">
      <c r="D82"/>
      <c r="E82"/>
    </row>
    <row r="83" spans="4:5" x14ac:dyDescent="0.25">
      <c r="D83"/>
      <c r="E83"/>
    </row>
    <row r="84" spans="4:5" x14ac:dyDescent="0.25">
      <c r="D84"/>
      <c r="E84"/>
    </row>
    <row r="85" spans="4:5" x14ac:dyDescent="0.25">
      <c r="D85"/>
      <c r="E85"/>
    </row>
    <row r="86" spans="4:5" x14ac:dyDescent="0.25">
      <c r="D86"/>
      <c r="E86"/>
    </row>
    <row r="87" spans="4:5" x14ac:dyDescent="0.25">
      <c r="D87"/>
      <c r="E87"/>
    </row>
    <row r="88" spans="4:5" x14ac:dyDescent="0.25">
      <c r="D88"/>
      <c r="E88"/>
    </row>
    <row r="89" spans="4:5" x14ac:dyDescent="0.25">
      <c r="D89"/>
      <c r="E89"/>
    </row>
    <row r="90" spans="4:5" x14ac:dyDescent="0.25">
      <c r="D90"/>
      <c r="E90"/>
    </row>
    <row r="91" spans="4:5" x14ac:dyDescent="0.25">
      <c r="D91"/>
      <c r="E91"/>
    </row>
    <row r="92" spans="4:5" x14ac:dyDescent="0.25">
      <c r="D92"/>
      <c r="E92"/>
    </row>
    <row r="93" spans="4:5" x14ac:dyDescent="0.25">
      <c r="D93"/>
      <c r="E93"/>
    </row>
    <row r="94" spans="4:5" x14ac:dyDescent="0.25">
      <c r="D94"/>
      <c r="E94"/>
    </row>
    <row r="95" spans="4:5" x14ac:dyDescent="0.25">
      <c r="D95"/>
      <c r="E95"/>
    </row>
    <row r="96" spans="4:5" x14ac:dyDescent="0.25">
      <c r="D96"/>
      <c r="E96"/>
    </row>
    <row r="97" spans="4:5" x14ac:dyDescent="0.25">
      <c r="D97"/>
      <c r="E97"/>
    </row>
    <row r="98" spans="4:5" x14ac:dyDescent="0.25">
      <c r="D98"/>
      <c r="E98"/>
    </row>
    <row r="99" spans="4:5" x14ac:dyDescent="0.25">
      <c r="D99"/>
      <c r="E99"/>
    </row>
    <row r="100" spans="4:5" x14ac:dyDescent="0.25">
      <c r="D100"/>
      <c r="E100"/>
    </row>
    <row r="101" spans="4:5" x14ac:dyDescent="0.25">
      <c r="D101"/>
      <c r="E101"/>
    </row>
    <row r="102" spans="4:5" x14ac:dyDescent="0.25">
      <c r="D102"/>
      <c r="E102"/>
    </row>
    <row r="103" spans="4:5" x14ac:dyDescent="0.25">
      <c r="D103"/>
      <c r="E103"/>
    </row>
    <row r="104" spans="4:5" x14ac:dyDescent="0.25">
      <c r="D104"/>
      <c r="E104"/>
    </row>
    <row r="105" spans="4:5" x14ac:dyDescent="0.25">
      <c r="D105"/>
      <c r="E105"/>
    </row>
    <row r="106" spans="4:5" x14ac:dyDescent="0.25">
      <c r="D106"/>
      <c r="E106"/>
    </row>
    <row r="107" spans="4:5" x14ac:dyDescent="0.25">
      <c r="D107"/>
      <c r="E107"/>
    </row>
    <row r="108" spans="4:5" x14ac:dyDescent="0.25">
      <c r="D108"/>
      <c r="E108"/>
    </row>
    <row r="109" spans="4:5" x14ac:dyDescent="0.25">
      <c r="D109"/>
      <c r="E109"/>
    </row>
    <row r="110" spans="4:5" x14ac:dyDescent="0.25">
      <c r="D110"/>
      <c r="E110"/>
    </row>
    <row r="111" spans="4:5" x14ac:dyDescent="0.25">
      <c r="D111"/>
      <c r="E111"/>
    </row>
    <row r="112" spans="4:5" x14ac:dyDescent="0.25">
      <c r="D112"/>
      <c r="E112"/>
    </row>
    <row r="113" spans="4:5" x14ac:dyDescent="0.25">
      <c r="D113"/>
      <c r="E113"/>
    </row>
    <row r="114" spans="4:5" x14ac:dyDescent="0.25">
      <c r="D114"/>
      <c r="E114"/>
    </row>
    <row r="115" spans="4:5" x14ac:dyDescent="0.25">
      <c r="D115"/>
      <c r="E115"/>
    </row>
    <row r="116" spans="4:5" x14ac:dyDescent="0.25">
      <c r="D116"/>
      <c r="E116"/>
    </row>
    <row r="117" spans="4:5" x14ac:dyDescent="0.25">
      <c r="D117"/>
      <c r="E117"/>
    </row>
    <row r="118" spans="4:5" x14ac:dyDescent="0.25">
      <c r="D118"/>
      <c r="E118"/>
    </row>
    <row r="119" spans="4:5" x14ac:dyDescent="0.25">
      <c r="D119"/>
      <c r="E119"/>
    </row>
    <row r="120" spans="4:5" x14ac:dyDescent="0.25">
      <c r="D120"/>
      <c r="E120"/>
    </row>
    <row r="121" spans="4:5" x14ac:dyDescent="0.25">
      <c r="D121"/>
      <c r="E121"/>
    </row>
    <row r="122" spans="4:5" x14ac:dyDescent="0.25">
      <c r="D122"/>
      <c r="E122"/>
    </row>
    <row r="123" spans="4:5" x14ac:dyDescent="0.25">
      <c r="D123"/>
      <c r="E123"/>
    </row>
    <row r="124" spans="4:5" x14ac:dyDescent="0.25">
      <c r="D124"/>
      <c r="E124"/>
    </row>
    <row r="125" spans="4:5" x14ac:dyDescent="0.25">
      <c r="D125"/>
      <c r="E125"/>
    </row>
    <row r="126" spans="4:5" x14ac:dyDescent="0.25">
      <c r="D126"/>
      <c r="E126"/>
    </row>
    <row r="127" spans="4:5" x14ac:dyDescent="0.25">
      <c r="D127"/>
      <c r="E127"/>
    </row>
    <row r="128" spans="4:5" x14ac:dyDescent="0.25">
      <c r="D128"/>
      <c r="E128"/>
    </row>
    <row r="129" spans="4:5" x14ac:dyDescent="0.25">
      <c r="D129"/>
      <c r="E129"/>
    </row>
    <row r="130" spans="4:5" x14ac:dyDescent="0.25">
      <c r="D130"/>
      <c r="E130"/>
    </row>
    <row r="131" spans="4:5" x14ac:dyDescent="0.25">
      <c r="D131"/>
      <c r="E131"/>
    </row>
    <row r="132" spans="4:5" x14ac:dyDescent="0.25">
      <c r="D132"/>
      <c r="E132"/>
    </row>
    <row r="133" spans="4:5" x14ac:dyDescent="0.25">
      <c r="D133"/>
      <c r="E133"/>
    </row>
    <row r="134" spans="4:5" x14ac:dyDescent="0.25">
      <c r="D134"/>
      <c r="E134"/>
    </row>
    <row r="135" spans="4:5" x14ac:dyDescent="0.25">
      <c r="D135"/>
      <c r="E135"/>
    </row>
    <row r="136" spans="4:5" x14ac:dyDescent="0.25">
      <c r="D136"/>
      <c r="E136"/>
    </row>
    <row r="137" spans="4:5" x14ac:dyDescent="0.25">
      <c r="D137"/>
      <c r="E137"/>
    </row>
    <row r="138" spans="4:5" x14ac:dyDescent="0.25">
      <c r="D138"/>
      <c r="E138"/>
    </row>
    <row r="139" spans="4:5" x14ac:dyDescent="0.25">
      <c r="D139"/>
      <c r="E139"/>
    </row>
  </sheetData>
  <mergeCells count="25">
    <mergeCell ref="A27:B27"/>
    <mergeCell ref="H20:I20"/>
    <mergeCell ref="H21:I21"/>
    <mergeCell ref="H9:I9"/>
    <mergeCell ref="H10:I10"/>
    <mergeCell ref="H11:I11"/>
    <mergeCell ref="H12:I12"/>
    <mergeCell ref="H13:I13"/>
    <mergeCell ref="H14:I14"/>
    <mergeCell ref="H15:I15"/>
    <mergeCell ref="H16:I16"/>
    <mergeCell ref="H17:I17"/>
    <mergeCell ref="H18:I18"/>
    <mergeCell ref="H19:I19"/>
    <mergeCell ref="A25:B25"/>
    <mergeCell ref="A26:B26"/>
    <mergeCell ref="H5:I5"/>
    <mergeCell ref="H6:I6"/>
    <mergeCell ref="H7:I7"/>
    <mergeCell ref="H8:I8"/>
    <mergeCell ref="C1:E1"/>
    <mergeCell ref="H1:I1"/>
    <mergeCell ref="H2:I2"/>
    <mergeCell ref="H3:I3"/>
    <mergeCell ref="H4:I4"/>
  </mergeCells>
  <pageMargins left="0.7" right="0.7" top="0.75" bottom="0.75" header="0.3" footer="0.3"/>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29"/>
  <sheetViews>
    <sheetView tabSelected="1" workbookViewId="0">
      <selection activeCell="E19" sqref="E19"/>
    </sheetView>
  </sheetViews>
  <sheetFormatPr defaultRowHeight="11.25" x14ac:dyDescent="0.2"/>
  <cols>
    <col min="1" max="1" width="42.5703125" style="2" customWidth="1"/>
    <col min="2" max="2" width="11.5703125" style="2" bestFit="1" customWidth="1"/>
    <col min="3" max="3" width="11.28515625" style="5" bestFit="1" customWidth="1"/>
    <col min="4" max="4" width="9" style="5" bestFit="1" customWidth="1"/>
    <col min="5" max="5" width="8.85546875" style="5" bestFit="1" customWidth="1"/>
    <col min="6" max="6" width="8.85546875" style="5" customWidth="1"/>
    <col min="7" max="7" width="11" style="5" bestFit="1" customWidth="1"/>
    <col min="8" max="8" width="10.42578125" style="5" hidden="1" customWidth="1"/>
    <col min="9" max="11" width="4.5703125" style="2" hidden="1" customWidth="1"/>
    <col min="12" max="16384" width="9.140625" style="2"/>
  </cols>
  <sheetData>
    <row r="1" spans="1:11" ht="24" x14ac:dyDescent="0.2">
      <c r="A1" s="14" t="s">
        <v>25</v>
      </c>
      <c r="B1" s="11" t="s">
        <v>12</v>
      </c>
      <c r="C1" s="12" t="s">
        <v>0</v>
      </c>
      <c r="D1" s="12" t="s">
        <v>10</v>
      </c>
      <c r="E1" s="12" t="s">
        <v>26</v>
      </c>
      <c r="F1" s="12" t="s">
        <v>60</v>
      </c>
      <c r="G1" s="12" t="s">
        <v>64</v>
      </c>
      <c r="H1" s="1" t="s">
        <v>18</v>
      </c>
      <c r="I1" s="1" t="s">
        <v>19</v>
      </c>
      <c r="J1" s="1" t="s">
        <v>20</v>
      </c>
      <c r="K1" s="1" t="s">
        <v>16</v>
      </c>
    </row>
    <row r="2" spans="1:11" ht="13.5" x14ac:dyDescent="0.2">
      <c r="A2" s="94"/>
      <c r="B2" s="94"/>
      <c r="C2" s="94"/>
      <c r="D2" s="94"/>
      <c r="E2" s="94"/>
      <c r="F2" s="94"/>
      <c r="G2" s="94"/>
      <c r="H2" s="1"/>
      <c r="I2" s="1"/>
      <c r="J2" s="1"/>
      <c r="K2" s="1"/>
    </row>
    <row r="3" spans="1:11" ht="12" x14ac:dyDescent="0.2">
      <c r="A3" s="73" t="s">
        <v>103</v>
      </c>
      <c r="B3" s="16" t="s">
        <v>2</v>
      </c>
      <c r="C3" s="16" t="s">
        <v>4</v>
      </c>
      <c r="D3" s="9">
        <v>1</v>
      </c>
      <c r="E3" s="13">
        <v>0</v>
      </c>
      <c r="F3" s="72">
        <v>1</v>
      </c>
      <c r="G3" s="9">
        <f>EffortCalculation(B3,C3,D3,E3,F3)</f>
        <v>16</v>
      </c>
      <c r="H3" s="7" t="e">
        <f>SUM(G3:G3)*#REF!</f>
        <v>#REF!</v>
      </c>
      <c r="I3" s="7" t="e">
        <f>SUM(G3:H3)/8</f>
        <v>#REF!</v>
      </c>
      <c r="J3" s="7" t="e">
        <f>I3/5</f>
        <v>#REF!</v>
      </c>
      <c r="K3" s="7" t="e">
        <f>H3/160</f>
        <v>#REF!</v>
      </c>
    </row>
    <row r="4" spans="1:11" ht="12" x14ac:dyDescent="0.2">
      <c r="A4" s="73" t="s">
        <v>104</v>
      </c>
      <c r="B4" s="16" t="s">
        <v>2</v>
      </c>
      <c r="C4" s="16" t="s">
        <v>4</v>
      </c>
      <c r="D4" s="9">
        <v>1</v>
      </c>
      <c r="E4" s="13">
        <v>0</v>
      </c>
      <c r="F4" s="72">
        <v>1</v>
      </c>
      <c r="G4" s="9">
        <f t="shared" ref="G4:G5" si="0">EffortCalculation(B4,C4,D4,E4,F4)</f>
        <v>16</v>
      </c>
      <c r="H4" s="7" t="e">
        <f>SUM(G4:G4)*#REF!</f>
        <v>#REF!</v>
      </c>
      <c r="I4" s="7" t="e">
        <f>SUM(G4:H4)/8</f>
        <v>#REF!</v>
      </c>
      <c r="J4" s="7" t="e">
        <f t="shared" ref="J4" si="1">I4/5</f>
        <v>#REF!</v>
      </c>
      <c r="K4" s="7" t="e">
        <f t="shared" ref="K4" si="2">H4/160</f>
        <v>#REF!</v>
      </c>
    </row>
    <row r="5" spans="1:11" ht="12" x14ac:dyDescent="0.2">
      <c r="A5" s="73" t="s">
        <v>61</v>
      </c>
      <c r="B5" s="16" t="s">
        <v>5</v>
      </c>
      <c r="C5" s="16" t="s">
        <v>3</v>
      </c>
      <c r="D5" s="9">
        <v>1</v>
      </c>
      <c r="E5" s="13">
        <v>0.2</v>
      </c>
      <c r="F5" s="72">
        <v>1</v>
      </c>
      <c r="G5" s="9">
        <f t="shared" si="0"/>
        <v>12.8</v>
      </c>
      <c r="H5" s="7"/>
      <c r="I5" s="7"/>
      <c r="J5" s="7"/>
      <c r="K5" s="7"/>
    </row>
    <row r="6" spans="1:11" ht="12" x14ac:dyDescent="0.2">
      <c r="A6" s="73" t="s">
        <v>105</v>
      </c>
      <c r="B6" s="16" t="s">
        <v>5</v>
      </c>
      <c r="C6" s="16" t="s">
        <v>4</v>
      </c>
      <c r="D6" s="9">
        <v>1</v>
      </c>
      <c r="E6" s="13">
        <v>0</v>
      </c>
      <c r="F6" s="72">
        <v>1</v>
      </c>
      <c r="G6" s="9">
        <f>EffortCalculation(B6,C6,D6,E6,F6)</f>
        <v>24</v>
      </c>
      <c r="H6" s="7"/>
      <c r="I6" s="7"/>
      <c r="J6" s="7"/>
      <c r="K6" s="7"/>
    </row>
    <row r="7" spans="1:11" ht="12" x14ac:dyDescent="0.2">
      <c r="A7" s="73" t="s">
        <v>106</v>
      </c>
      <c r="B7" s="16" t="s">
        <v>5</v>
      </c>
      <c r="C7" s="16" t="s">
        <v>4</v>
      </c>
      <c r="D7" s="9">
        <v>1</v>
      </c>
      <c r="E7" s="13">
        <v>0</v>
      </c>
      <c r="F7" s="72">
        <v>1</v>
      </c>
      <c r="G7" s="9">
        <f t="shared" ref="G7:G8" si="3">EffortCalculation(B7,C7,D7,E7,F7)</f>
        <v>24</v>
      </c>
      <c r="H7" s="7"/>
      <c r="I7" s="7"/>
      <c r="J7" s="7"/>
      <c r="K7" s="7"/>
    </row>
    <row r="8" spans="1:11" ht="12" x14ac:dyDescent="0.2">
      <c r="A8" s="73" t="s">
        <v>107</v>
      </c>
      <c r="B8" s="16" t="s">
        <v>5</v>
      </c>
      <c r="C8" s="16" t="s">
        <v>3</v>
      </c>
      <c r="D8" s="9">
        <v>1</v>
      </c>
      <c r="E8" s="13">
        <v>0.9</v>
      </c>
      <c r="F8" s="72">
        <v>1</v>
      </c>
      <c r="G8" s="9">
        <f t="shared" si="3"/>
        <v>1.5999999999999996</v>
      </c>
      <c r="H8" s="7"/>
      <c r="I8" s="7"/>
      <c r="J8" s="7"/>
      <c r="K8" s="7"/>
    </row>
    <row r="9" spans="1:11" ht="12" x14ac:dyDescent="0.2">
      <c r="A9" s="73" t="s">
        <v>108</v>
      </c>
      <c r="B9" s="16" t="s">
        <v>5</v>
      </c>
      <c r="C9" s="16" t="s">
        <v>4</v>
      </c>
      <c r="D9" s="9">
        <v>1</v>
      </c>
      <c r="E9" s="13">
        <v>0.9</v>
      </c>
      <c r="F9" s="72">
        <v>1</v>
      </c>
      <c r="G9" s="9">
        <f>EffortCalculation(B9,C9,D9,E9,F9)</f>
        <v>2.3999999999999986</v>
      </c>
      <c r="H9" s="7"/>
      <c r="I9" s="7"/>
      <c r="J9" s="7"/>
      <c r="K9" s="7"/>
    </row>
    <row r="10" spans="1:11" ht="12" x14ac:dyDescent="0.2">
      <c r="A10" s="73" t="s">
        <v>109</v>
      </c>
      <c r="B10" s="16" t="s">
        <v>5</v>
      </c>
      <c r="C10" s="16" t="s">
        <v>4</v>
      </c>
      <c r="D10" s="9">
        <v>1</v>
      </c>
      <c r="E10" s="13">
        <v>0.9</v>
      </c>
      <c r="F10" s="72">
        <v>1</v>
      </c>
      <c r="G10" s="9">
        <f t="shared" ref="G10:G11" si="4">EffortCalculation(B10,C10,D10,E10,F10)</f>
        <v>2.3999999999999986</v>
      </c>
      <c r="H10" s="7"/>
      <c r="I10" s="7"/>
      <c r="J10" s="7"/>
      <c r="K10" s="7"/>
    </row>
    <row r="11" spans="1:11" ht="12" x14ac:dyDescent="0.2">
      <c r="A11" s="73" t="s">
        <v>110</v>
      </c>
      <c r="B11" s="16" t="s">
        <v>5</v>
      </c>
      <c r="C11" s="16" t="s">
        <v>4</v>
      </c>
      <c r="D11" s="9">
        <v>1.5</v>
      </c>
      <c r="E11" s="13">
        <v>0.2</v>
      </c>
      <c r="F11" s="72">
        <v>1</v>
      </c>
      <c r="G11" s="9">
        <f t="shared" si="4"/>
        <v>28.8</v>
      </c>
      <c r="H11" s="7"/>
      <c r="I11" s="7"/>
      <c r="J11" s="7"/>
      <c r="K11" s="7"/>
    </row>
    <row r="12" spans="1:11" ht="12" x14ac:dyDescent="0.2">
      <c r="A12" s="73" t="s">
        <v>111</v>
      </c>
      <c r="B12" s="16" t="s">
        <v>5</v>
      </c>
      <c r="C12" s="16" t="s">
        <v>4</v>
      </c>
      <c r="D12" s="9">
        <v>1.5</v>
      </c>
      <c r="E12" s="13">
        <v>0</v>
      </c>
      <c r="F12" s="72">
        <v>1</v>
      </c>
      <c r="G12" s="9">
        <f t="shared" ref="G12" si="5">EffortCalculation(B12,C12,D12,E12,F12)</f>
        <v>36</v>
      </c>
      <c r="H12" s="7"/>
      <c r="I12" s="7"/>
      <c r="J12" s="7"/>
      <c r="K12" s="7"/>
    </row>
    <row r="13" spans="1:11" ht="12" x14ac:dyDescent="0.2">
      <c r="A13" s="73" t="s">
        <v>112</v>
      </c>
      <c r="B13" s="16" t="s">
        <v>5</v>
      </c>
      <c r="C13" s="16" t="s">
        <v>4</v>
      </c>
      <c r="D13" s="9">
        <v>1</v>
      </c>
      <c r="E13" s="13">
        <v>0.2</v>
      </c>
      <c r="F13" s="72">
        <v>1</v>
      </c>
      <c r="G13" s="9">
        <f t="shared" ref="G13:G15" si="6">EffortCalculation(B13,C13,D13,E13,F13)</f>
        <v>19.2</v>
      </c>
      <c r="H13" s="7"/>
      <c r="I13" s="7"/>
      <c r="J13" s="7"/>
      <c r="K13" s="7"/>
    </row>
    <row r="14" spans="1:11" ht="24" x14ac:dyDescent="0.2">
      <c r="A14" s="73" t="s">
        <v>113</v>
      </c>
      <c r="B14" s="16" t="s">
        <v>5</v>
      </c>
      <c r="C14" s="16" t="s">
        <v>4</v>
      </c>
      <c r="D14" s="9">
        <v>1</v>
      </c>
      <c r="E14" s="13">
        <v>0</v>
      </c>
      <c r="F14" s="72">
        <v>1</v>
      </c>
      <c r="G14" s="9">
        <f t="shared" si="6"/>
        <v>24</v>
      </c>
      <c r="H14" s="7"/>
      <c r="I14" s="7"/>
      <c r="J14" s="7"/>
      <c r="K14" s="7"/>
    </row>
    <row r="15" spans="1:11" ht="12" x14ac:dyDescent="0.2">
      <c r="A15" s="73" t="s">
        <v>115</v>
      </c>
      <c r="B15" s="16" t="s">
        <v>5</v>
      </c>
      <c r="C15" s="16" t="s">
        <v>13</v>
      </c>
      <c r="D15" s="9">
        <v>1</v>
      </c>
      <c r="E15" s="13">
        <v>0.3</v>
      </c>
      <c r="F15" s="72">
        <v>1</v>
      </c>
      <c r="G15" s="9">
        <f t="shared" si="6"/>
        <v>28</v>
      </c>
      <c r="H15" s="7"/>
      <c r="I15" s="7"/>
      <c r="J15" s="7"/>
      <c r="K15" s="7"/>
    </row>
    <row r="16" spans="1:11" ht="12" x14ac:dyDescent="0.2">
      <c r="A16" s="73" t="s">
        <v>116</v>
      </c>
      <c r="B16" s="16" t="s">
        <v>5</v>
      </c>
      <c r="C16" s="16" t="s">
        <v>13</v>
      </c>
      <c r="D16" s="9">
        <v>1</v>
      </c>
      <c r="E16" s="13">
        <v>0</v>
      </c>
      <c r="F16" s="72">
        <v>1</v>
      </c>
      <c r="G16" s="9">
        <f t="shared" ref="G16" si="7">EffortCalculation(B16,C16,D16,E16,F16)</f>
        <v>40</v>
      </c>
      <c r="H16" s="7"/>
      <c r="I16" s="7"/>
      <c r="J16" s="7"/>
      <c r="K16" s="7"/>
    </row>
    <row r="17" spans="1:11" ht="24" x14ac:dyDescent="0.2">
      <c r="A17" s="73" t="s">
        <v>120</v>
      </c>
      <c r="B17" s="16" t="s">
        <v>11</v>
      </c>
      <c r="C17" s="16" t="s">
        <v>4</v>
      </c>
      <c r="D17" s="9">
        <v>1</v>
      </c>
      <c r="E17" s="13">
        <v>0.5</v>
      </c>
      <c r="F17" s="72">
        <v>1</v>
      </c>
      <c r="G17" s="9">
        <f t="shared" ref="G17:G18" si="8">EffortCalculation(B17,C17,D17,E17,F17)</f>
        <v>6</v>
      </c>
      <c r="H17" s="7"/>
      <c r="I17" s="7"/>
      <c r="J17" s="7"/>
      <c r="K17" s="7"/>
    </row>
    <row r="18" spans="1:11" ht="12" x14ac:dyDescent="0.2">
      <c r="A18" s="73" t="s">
        <v>119</v>
      </c>
      <c r="B18" s="16" t="s">
        <v>11</v>
      </c>
      <c r="C18" s="16" t="s">
        <v>8</v>
      </c>
      <c r="D18" s="9">
        <v>1</v>
      </c>
      <c r="E18" s="13">
        <v>0</v>
      </c>
      <c r="F18" s="72">
        <v>20</v>
      </c>
      <c r="G18" s="9">
        <f t="shared" si="8"/>
        <v>120</v>
      </c>
      <c r="H18" s="7"/>
      <c r="I18" s="7"/>
      <c r="J18" s="7"/>
      <c r="K18" s="7"/>
    </row>
    <row r="19" spans="1:11" ht="12" x14ac:dyDescent="0.2">
      <c r="A19" s="73" t="s">
        <v>118</v>
      </c>
      <c r="B19" s="16" t="s">
        <v>5</v>
      </c>
      <c r="C19" s="16" t="s">
        <v>4</v>
      </c>
      <c r="D19" s="9">
        <v>1</v>
      </c>
      <c r="E19" s="13">
        <v>0</v>
      </c>
      <c r="F19" s="72">
        <v>1</v>
      </c>
      <c r="G19" s="9">
        <f t="shared" ref="G19:G20" si="9">EffortCalculation(B19,C19,D19,E19,F19)</f>
        <v>24</v>
      </c>
      <c r="H19" s="7"/>
      <c r="I19" s="7"/>
      <c r="J19" s="7"/>
      <c r="K19" s="7"/>
    </row>
    <row r="20" spans="1:11" ht="12" x14ac:dyDescent="0.2">
      <c r="A20" s="73" t="s">
        <v>121</v>
      </c>
      <c r="B20" s="16" t="s">
        <v>5</v>
      </c>
      <c r="C20" s="16" t="s">
        <v>3</v>
      </c>
      <c r="D20" s="9">
        <v>1</v>
      </c>
      <c r="E20" s="13">
        <v>0.3</v>
      </c>
      <c r="F20" s="72">
        <v>1</v>
      </c>
      <c r="G20" s="9">
        <f t="shared" si="9"/>
        <v>11.2</v>
      </c>
      <c r="H20" s="7"/>
      <c r="I20" s="7"/>
      <c r="J20" s="7"/>
      <c r="K20" s="7"/>
    </row>
    <row r="21" spans="1:11" ht="12" x14ac:dyDescent="0.2">
      <c r="A21" s="73" t="s">
        <v>114</v>
      </c>
      <c r="B21" s="16" t="s">
        <v>5</v>
      </c>
      <c r="C21" s="16" t="s">
        <v>4</v>
      </c>
      <c r="D21" s="9">
        <v>1</v>
      </c>
      <c r="E21" s="13">
        <v>0</v>
      </c>
      <c r="F21" s="72">
        <v>1</v>
      </c>
      <c r="G21" s="9">
        <f t="shared" ref="G21" si="10">EffortCalculation(B21,C21,D21,E21,F21)</f>
        <v>24</v>
      </c>
      <c r="H21" s="7"/>
      <c r="I21" s="7"/>
      <c r="J21" s="7"/>
      <c r="K21" s="7"/>
    </row>
    <row r="22" spans="1:11" ht="12" x14ac:dyDescent="0.2">
      <c r="A22" s="75"/>
      <c r="B22" s="16"/>
      <c r="C22" s="16"/>
      <c r="D22" s="9"/>
      <c r="E22" s="13"/>
      <c r="F22" s="72"/>
      <c r="G22" s="9"/>
      <c r="H22" s="7"/>
      <c r="I22" s="7"/>
      <c r="J22" s="7"/>
      <c r="K22" s="7"/>
    </row>
    <row r="23" spans="1:11" ht="12" x14ac:dyDescent="0.2">
      <c r="A23" s="93" t="s">
        <v>21</v>
      </c>
      <c r="B23" s="93"/>
      <c r="C23" s="93"/>
      <c r="D23" s="93"/>
      <c r="E23" s="93"/>
      <c r="F23" s="74"/>
      <c r="G23" s="10">
        <f>SUM(G3:G22)</f>
        <v>460.4</v>
      </c>
      <c r="H23" s="4"/>
      <c r="I23" s="75"/>
      <c r="J23" s="75"/>
      <c r="K23" s="75"/>
    </row>
    <row r="29" spans="1:11" x14ac:dyDescent="0.2">
      <c r="D29" s="6"/>
    </row>
  </sheetData>
  <mergeCells count="2">
    <mergeCell ref="A23:E23"/>
    <mergeCell ref="A2:G2"/>
  </mergeCells>
  <dataValidations count="7">
    <dataValidation type="list" allowBlank="1" showInputMessage="1" showErrorMessage="1" sqref="D3:D16 D21">
      <formula1>"0.5, 1, 1.25, 1.5, 1.75"</formula1>
    </dataValidation>
    <dataValidation type="list" allowBlank="1" showInputMessage="1" showErrorMessage="1" sqref="B3:B16">
      <formula1>"Template, Component, Workflow, Java Services, Configuration, Setup"</formula1>
    </dataValidation>
    <dataValidation type="list" allowBlank="1" showInputMessage="1" showErrorMessage="1" sqref="D22 D17:D20">
      <formula1>"0.5, 1, 1.25, 1.5, 1.75, 2, 2.25, 2.5,2.75, 3, 3.25, 3.5, 3.75, 4, 4.25, 4.50, 4.75, 5"</formula1>
    </dataValidation>
    <dataValidation type="list" allowBlank="1" showInputMessage="1" showErrorMessage="1" sqref="B17:B22">
      <formula1>"Template,Component,Workflow,Java Services,Configuration,Setup"</formula1>
    </dataValidation>
    <dataValidation type="list" allowBlank="1" showInputMessage="1" showErrorMessage="1" sqref="C3:C22">
      <formula1>"Very Simple,Simple,Medium,Complex,Very Complex"</formula1>
    </dataValidation>
    <dataValidation type="list" allowBlank="1" showInputMessage="1" showErrorMessage="1" sqref="E3:E22">
      <formula1>"0.0,0.05,0.10,0.15,0.20,0.25,0.30,0.35,0.40, 0.45, 0.50, 0.55, 0.60, 0.65, 0.70, 0.75, 0.80, 0.85, 0.90, 0.95"</formula1>
    </dataValidation>
    <dataValidation type="whole" allowBlank="1" showInputMessage="1" showErrorMessage="1" sqref="F3:F22">
      <formula1>1</formula1>
      <formula2>80</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8"/>
  <sheetViews>
    <sheetView topLeftCell="A25" workbookViewId="0">
      <selection activeCell="A36" sqref="A36"/>
    </sheetView>
  </sheetViews>
  <sheetFormatPr defaultRowHeight="15" x14ac:dyDescent="0.25"/>
  <cols>
    <col min="1" max="1" width="137.85546875" customWidth="1"/>
  </cols>
  <sheetData>
    <row r="1" spans="1:1" x14ac:dyDescent="0.25">
      <c r="A1" s="76" t="s">
        <v>62</v>
      </c>
    </row>
    <row r="2" spans="1:1" x14ac:dyDescent="0.25">
      <c r="A2" s="77" t="s">
        <v>65</v>
      </c>
    </row>
    <row r="3" spans="1:1" x14ac:dyDescent="0.25">
      <c r="A3" s="77" t="s">
        <v>66</v>
      </c>
    </row>
    <row r="4" spans="1:1" x14ac:dyDescent="0.25">
      <c r="A4" s="77" t="s">
        <v>67</v>
      </c>
    </row>
    <row r="5" spans="1:1" x14ac:dyDescent="0.25">
      <c r="A5" s="77" t="s">
        <v>68</v>
      </c>
    </row>
    <row r="6" spans="1:1" x14ac:dyDescent="0.25">
      <c r="A6" s="77" t="s">
        <v>69</v>
      </c>
    </row>
    <row r="7" spans="1:1" x14ac:dyDescent="0.25">
      <c r="A7" s="77" t="s">
        <v>70</v>
      </c>
    </row>
    <row r="8" spans="1:1" x14ac:dyDescent="0.25">
      <c r="A8" s="77" t="s">
        <v>71</v>
      </c>
    </row>
    <row r="9" spans="1:1" x14ac:dyDescent="0.25">
      <c r="A9" s="77" t="s">
        <v>72</v>
      </c>
    </row>
    <row r="10" spans="1:1" x14ac:dyDescent="0.25">
      <c r="A10" s="77" t="s">
        <v>73</v>
      </c>
    </row>
    <row r="11" spans="1:1" x14ac:dyDescent="0.25">
      <c r="A11" s="77" t="s">
        <v>74</v>
      </c>
    </row>
    <row r="12" spans="1:1" x14ac:dyDescent="0.25">
      <c r="A12" s="77" t="s">
        <v>75</v>
      </c>
    </row>
    <row r="13" spans="1:1" x14ac:dyDescent="0.25">
      <c r="A13" s="77" t="s">
        <v>76</v>
      </c>
    </row>
    <row r="14" spans="1:1" x14ac:dyDescent="0.25">
      <c r="A14" s="77" t="s">
        <v>122</v>
      </c>
    </row>
    <row r="15" spans="1:1" x14ac:dyDescent="0.25">
      <c r="A15" s="77" t="s">
        <v>77</v>
      </c>
    </row>
    <row r="16" spans="1:1" x14ac:dyDescent="0.25">
      <c r="A16" s="77" t="s">
        <v>78</v>
      </c>
    </row>
    <row r="17" spans="1:1" x14ac:dyDescent="0.25">
      <c r="A17" s="77" t="s">
        <v>79</v>
      </c>
    </row>
    <row r="18" spans="1:1" x14ac:dyDescent="0.25">
      <c r="A18" s="77" t="s">
        <v>80</v>
      </c>
    </row>
    <row r="19" spans="1:1" ht="24" x14ac:dyDescent="0.25">
      <c r="A19" s="77" t="s">
        <v>81</v>
      </c>
    </row>
    <row r="20" spans="1:1" x14ac:dyDescent="0.25">
      <c r="A20" s="77" t="s">
        <v>123</v>
      </c>
    </row>
    <row r="21" spans="1:1" x14ac:dyDescent="0.25">
      <c r="A21" s="77"/>
    </row>
    <row r="22" spans="1:1" x14ac:dyDescent="0.25">
      <c r="A22" s="76" t="s">
        <v>82</v>
      </c>
    </row>
    <row r="23" spans="1:1" x14ac:dyDescent="0.25">
      <c r="A23" s="77" t="s">
        <v>83</v>
      </c>
    </row>
    <row r="24" spans="1:1" x14ac:dyDescent="0.25">
      <c r="A24" s="77" t="s">
        <v>84</v>
      </c>
    </row>
    <row r="25" spans="1:1" x14ac:dyDescent="0.25">
      <c r="A25" s="77" t="s">
        <v>85</v>
      </c>
    </row>
    <row r="26" spans="1:1" x14ac:dyDescent="0.25">
      <c r="A26" s="77" t="s">
        <v>86</v>
      </c>
    </row>
    <row r="27" spans="1:1" x14ac:dyDescent="0.25">
      <c r="A27" s="77" t="s">
        <v>87</v>
      </c>
    </row>
    <row r="28" spans="1:1" x14ac:dyDescent="0.25">
      <c r="A28" s="77" t="s">
        <v>88</v>
      </c>
    </row>
    <row r="29" spans="1:1" x14ac:dyDescent="0.25">
      <c r="A29" s="77" t="s">
        <v>89</v>
      </c>
    </row>
    <row r="30" spans="1:1" x14ac:dyDescent="0.25">
      <c r="A30" s="78" t="s">
        <v>90</v>
      </c>
    </row>
    <row r="32" spans="1:1" x14ac:dyDescent="0.25">
      <c r="A32" s="78"/>
    </row>
    <row r="33" spans="1:1" x14ac:dyDescent="0.25">
      <c r="A33" s="76" t="s">
        <v>91</v>
      </c>
    </row>
    <row r="34" spans="1:1" x14ac:dyDescent="0.25">
      <c r="A34" s="77" t="s">
        <v>92</v>
      </c>
    </row>
    <row r="35" spans="1:1" x14ac:dyDescent="0.25">
      <c r="A35" s="77" t="s">
        <v>125</v>
      </c>
    </row>
    <row r="36" spans="1:1" x14ac:dyDescent="0.25">
      <c r="A36" s="79" t="s">
        <v>126</v>
      </c>
    </row>
    <row r="37" spans="1:1" x14ac:dyDescent="0.25">
      <c r="A37" s="77" t="s">
        <v>93</v>
      </c>
    </row>
    <row r="38" spans="1:1" x14ac:dyDescent="0.25">
      <c r="A38" s="77" t="s">
        <v>117</v>
      </c>
    </row>
    <row r="39" spans="1:1" x14ac:dyDescent="0.25">
      <c r="A39" s="77" t="s">
        <v>94</v>
      </c>
    </row>
    <row r="40" spans="1:1" x14ac:dyDescent="0.25">
      <c r="A40" s="77" t="s">
        <v>95</v>
      </c>
    </row>
    <row r="41" spans="1:1" x14ac:dyDescent="0.25">
      <c r="A41" s="77" t="s">
        <v>96</v>
      </c>
    </row>
    <row r="42" spans="1:1" x14ac:dyDescent="0.25">
      <c r="A42" s="77" t="s">
        <v>97</v>
      </c>
    </row>
    <row r="43" spans="1:1" x14ac:dyDescent="0.25">
      <c r="A43" s="77" t="s">
        <v>98</v>
      </c>
    </row>
    <row r="44" spans="1:1" x14ac:dyDescent="0.25">
      <c r="A44" s="77" t="s">
        <v>99</v>
      </c>
    </row>
    <row r="45" spans="1:1" x14ac:dyDescent="0.25">
      <c r="A45" s="77" t="s">
        <v>100</v>
      </c>
    </row>
    <row r="46" spans="1:1" x14ac:dyDescent="0.25">
      <c r="A46" s="77" t="s">
        <v>101</v>
      </c>
    </row>
    <row r="47" spans="1:1" x14ac:dyDescent="0.25">
      <c r="A47" s="77" t="s">
        <v>102</v>
      </c>
    </row>
    <row r="48" spans="1:1" ht="24" x14ac:dyDescent="0.25">
      <c r="A48" s="77" t="s">
        <v>124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4"/>
  <sheetViews>
    <sheetView workbookViewId="0">
      <selection activeCell="G15" sqref="G15"/>
    </sheetView>
  </sheetViews>
  <sheetFormatPr defaultRowHeight="15" x14ac:dyDescent="0.25"/>
  <cols>
    <col min="1" max="1" width="8.5703125" bestFit="1" customWidth="1"/>
    <col min="2" max="2" width="10.140625" bestFit="1" customWidth="1"/>
    <col min="3" max="3" width="7.28515625" bestFit="1" customWidth="1"/>
    <col min="4" max="4" width="8.85546875" bestFit="1" customWidth="1"/>
    <col min="5" max="5" width="7.42578125" bestFit="1" customWidth="1"/>
    <col min="7" max="7" width="10" customWidth="1"/>
    <col min="8" max="8" width="4.85546875" bestFit="1" customWidth="1"/>
    <col min="10" max="10" width="7.140625" customWidth="1"/>
    <col min="11" max="11" width="8" customWidth="1"/>
  </cols>
  <sheetData>
    <row r="1" spans="1:12" ht="15" customHeight="1" x14ac:dyDescent="0.25">
      <c r="B1" s="95" t="s">
        <v>23</v>
      </c>
      <c r="C1" s="96"/>
      <c r="D1" s="96"/>
      <c r="E1" s="96"/>
      <c r="F1" s="96"/>
      <c r="G1" s="96"/>
      <c r="H1" s="97"/>
    </row>
    <row r="2" spans="1:12" ht="22.5" x14ac:dyDescent="0.25">
      <c r="A2" s="3" t="s">
        <v>22</v>
      </c>
      <c r="B2" s="3" t="s">
        <v>17</v>
      </c>
      <c r="C2" s="3" t="s">
        <v>2</v>
      </c>
      <c r="D2" s="3" t="s">
        <v>5</v>
      </c>
      <c r="E2" s="3" t="s">
        <v>7</v>
      </c>
      <c r="F2" s="3" t="s">
        <v>27</v>
      </c>
      <c r="G2" s="3" t="s">
        <v>14</v>
      </c>
      <c r="H2" s="3" t="s">
        <v>11</v>
      </c>
    </row>
    <row r="3" spans="1:12" x14ac:dyDescent="0.25">
      <c r="A3" s="15" t="s">
        <v>28</v>
      </c>
      <c r="B3" s="8" t="s">
        <v>8</v>
      </c>
      <c r="C3" s="4">
        <f>RelativeEffortCalculation($A$3,$B3,$C$2)</f>
        <v>6</v>
      </c>
      <c r="D3" s="4">
        <f>RelativeEffortCalculation($A$3,$B3,$D$2)</f>
        <v>8</v>
      </c>
      <c r="E3" s="4">
        <f>RelativeEffortCalculation($A$3,$B3,$E$2)</f>
        <v>6</v>
      </c>
      <c r="F3" s="4">
        <f>RelativeEffortCalculation($A$3,$B3,$F$2)</f>
        <v>10</v>
      </c>
      <c r="G3" s="4">
        <f>RelativeEffortCalculation($A$3,$B3,$G$2)</f>
        <v>4</v>
      </c>
      <c r="H3" s="4">
        <f>RelativeEffortCalculation($A$3,$B3,$H$2)</f>
        <v>6</v>
      </c>
    </row>
    <row r="4" spans="1:12" x14ac:dyDescent="0.25">
      <c r="A4" s="15"/>
      <c r="B4" s="8" t="s">
        <v>3</v>
      </c>
      <c r="C4" s="4">
        <f t="shared" ref="C4:C7" si="0">RelativeEffortCalculation($A$3,$B4,$C$2)</f>
        <v>8</v>
      </c>
      <c r="D4" s="4">
        <f t="shared" ref="D4:D7" si="1">RelativeEffortCalculation($A$3,$B4,$D$2)</f>
        <v>16</v>
      </c>
      <c r="E4" s="4">
        <f t="shared" ref="E4:E7" si="2">RelativeEffortCalculation($A$3,$B4,$E$2)</f>
        <v>12</v>
      </c>
      <c r="F4" s="4">
        <f t="shared" ref="F4:F7" si="3">RelativeEffortCalculation($A$3,$B4,$F$2)</f>
        <v>16</v>
      </c>
      <c r="G4" s="4">
        <f t="shared" ref="G4:G7" si="4">RelativeEffortCalculation($A$3,$B4,$G$2)</f>
        <v>8</v>
      </c>
      <c r="H4" s="4">
        <f t="shared" ref="H4:H7" si="5">RelativeEffortCalculation($A$3,$B4,$H$2)</f>
        <v>8</v>
      </c>
    </row>
    <row r="5" spans="1:12" x14ac:dyDescent="0.25">
      <c r="A5" s="15"/>
      <c r="B5" s="8" t="s">
        <v>4</v>
      </c>
      <c r="C5" s="4">
        <f t="shared" si="0"/>
        <v>16</v>
      </c>
      <c r="D5" s="4">
        <f t="shared" si="1"/>
        <v>24</v>
      </c>
      <c r="E5" s="4">
        <f t="shared" si="2"/>
        <v>16</v>
      </c>
      <c r="F5" s="4">
        <f t="shared" si="3"/>
        <v>24</v>
      </c>
      <c r="G5" s="4">
        <f t="shared" si="4"/>
        <v>14</v>
      </c>
      <c r="H5" s="4">
        <f t="shared" si="5"/>
        <v>12</v>
      </c>
    </row>
    <row r="6" spans="1:12" x14ac:dyDescent="0.25">
      <c r="A6" s="15"/>
      <c r="B6" s="8" t="s">
        <v>13</v>
      </c>
      <c r="C6" s="4">
        <f t="shared" si="0"/>
        <v>20</v>
      </c>
      <c r="D6" s="4">
        <f t="shared" si="1"/>
        <v>40</v>
      </c>
      <c r="E6" s="4">
        <f t="shared" si="2"/>
        <v>24</v>
      </c>
      <c r="F6" s="4">
        <f t="shared" si="3"/>
        <v>32</v>
      </c>
      <c r="G6" s="4">
        <f t="shared" si="4"/>
        <v>16</v>
      </c>
      <c r="H6" s="4">
        <f t="shared" si="5"/>
        <v>16</v>
      </c>
    </row>
    <row r="7" spans="1:12" x14ac:dyDescent="0.25">
      <c r="A7" s="15"/>
      <c r="B7" s="8" t="s">
        <v>9</v>
      </c>
      <c r="C7" s="4">
        <f t="shared" si="0"/>
        <v>24</v>
      </c>
      <c r="D7" s="4">
        <f t="shared" si="1"/>
        <v>56</v>
      </c>
      <c r="E7" s="4">
        <f t="shared" si="2"/>
        <v>30</v>
      </c>
      <c r="F7" s="4">
        <f t="shared" si="3"/>
        <v>40</v>
      </c>
      <c r="G7" s="4">
        <f t="shared" si="4"/>
        <v>24</v>
      </c>
      <c r="H7" s="4">
        <f t="shared" si="5"/>
        <v>24</v>
      </c>
    </row>
    <row r="9" spans="1:12" ht="15.75" customHeight="1" x14ac:dyDescent="0.25"/>
    <row r="10" spans="1:12" ht="15.75" customHeight="1" x14ac:dyDescent="0.25"/>
    <row r="11" spans="1:12" ht="15" customHeight="1" x14ac:dyDescent="0.25"/>
    <row r="12" spans="1:12" ht="15" customHeight="1" x14ac:dyDescent="0.25">
      <c r="L12" s="2"/>
    </row>
    <row r="13" spans="1:12" ht="15" customHeight="1" x14ac:dyDescent="0.25">
      <c r="L13" s="2"/>
    </row>
    <row r="14" spans="1:12" ht="15.75" customHeight="1" x14ac:dyDescent="0.25">
      <c r="L14" s="2"/>
    </row>
    <row r="15" spans="1:12" ht="16.5" customHeight="1" x14ac:dyDescent="0.25">
      <c r="L15" s="2"/>
    </row>
    <row r="16" spans="1:12" ht="16.5" customHeight="1" x14ac:dyDescent="0.25">
      <c r="L16" s="2"/>
    </row>
    <row r="17" spans="11:12" ht="15.75" customHeight="1" x14ac:dyDescent="0.25">
      <c r="L17" s="2"/>
    </row>
    <row r="18" spans="11:12" x14ac:dyDescent="0.25">
      <c r="L18" s="2"/>
    </row>
    <row r="19" spans="11:12" x14ac:dyDescent="0.25">
      <c r="L19" s="2"/>
    </row>
    <row r="20" spans="11:12" x14ac:dyDescent="0.25">
      <c r="L20" s="2"/>
    </row>
    <row r="21" spans="11:12" x14ac:dyDescent="0.25">
      <c r="L21" s="2"/>
    </row>
    <row r="22" spans="11:12" x14ac:dyDescent="0.25">
      <c r="L22" s="2"/>
    </row>
    <row r="23" spans="11:12" x14ac:dyDescent="0.25">
      <c r="K23" s="2"/>
      <c r="L23" s="2"/>
    </row>
    <row r="24" spans="11:12" x14ac:dyDescent="0.25">
      <c r="K24" s="2"/>
      <c r="L24" s="2"/>
    </row>
  </sheetData>
  <mergeCells count="1">
    <mergeCell ref="B1:H1"/>
  </mergeCells>
  <dataValidations count="1">
    <dataValidation type="list" allowBlank="1" showInputMessage="1" showErrorMessage="1" sqref="A3">
      <formula1>"IW, SDL, AEM, IBM, FatWire, Vignette"</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 Efforts - CMS</vt:lpstr>
      <vt:lpstr>Inventory_List</vt:lpstr>
      <vt:lpstr>AEM Assumptions</vt:lpstr>
      <vt:lpstr>Base_Effort</vt:lpstr>
    </vt:vector>
  </TitlesOfParts>
  <Company>Cognizant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Vrushabhendrappa, Vijaya(Cognizant)</dc:creator>
  <cp:lastModifiedBy>Mishra, Abhay K</cp:lastModifiedBy>
  <dcterms:created xsi:type="dcterms:W3CDTF">2013-12-13T10:55:56Z</dcterms:created>
  <dcterms:modified xsi:type="dcterms:W3CDTF">2016-05-12T05:07:08Z</dcterms:modified>
</cp:coreProperties>
</file>