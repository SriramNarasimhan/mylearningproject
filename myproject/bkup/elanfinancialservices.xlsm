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60" windowWidth="20490" windowHeight="7695" activeTab="1"/>
  </bookViews>
  <sheets>
    <sheet name="elanfinancialservices" sheetId="4" r:id="rId1"/>
    <sheet name="Scope_Assumptions" sheetId="10" r:id="rId2"/>
    <sheet name="Schedule_with_RL" sheetId="11" r:id="rId3"/>
  </sheets>
  <functionGroups builtInGroupCount="17"/>
  <definedNames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45621"/>
</workbook>
</file>

<file path=xl/calcChain.xml><?xml version="1.0" encoding="utf-8"?>
<calcChain xmlns="http://schemas.openxmlformats.org/spreadsheetml/2006/main">
  <c r="U11" i="4" l="1"/>
  <c r="T11" i="4"/>
  <c r="S11" i="4"/>
  <c r="R11" i="4"/>
  <c r="Q11" i="4"/>
  <c r="P11" i="4"/>
  <c r="O11" i="4"/>
  <c r="U10" i="4"/>
  <c r="T10" i="4"/>
  <c r="S10" i="4"/>
  <c r="R10" i="4"/>
  <c r="Q10" i="4"/>
  <c r="P10" i="4"/>
  <c r="O10" i="4"/>
  <c r="U8" i="4"/>
  <c r="T8" i="4"/>
  <c r="S8" i="4"/>
  <c r="R8" i="4"/>
  <c r="Q8" i="4"/>
  <c r="P8" i="4"/>
  <c r="O8" i="4"/>
  <c r="O6" i="4"/>
  <c r="P6" i="4"/>
  <c r="Q6" i="4"/>
  <c r="R6" i="4"/>
  <c r="S6" i="4"/>
  <c r="T6" i="4"/>
  <c r="U6" i="4"/>
  <c r="O7" i="4"/>
  <c r="P7" i="4"/>
  <c r="Q7" i="4"/>
  <c r="R7" i="4"/>
  <c r="S7" i="4"/>
  <c r="T7" i="4"/>
  <c r="U7" i="4"/>
  <c r="N9" i="4"/>
  <c r="U14" i="4" l="1"/>
  <c r="Q14" i="4"/>
  <c r="S14" i="4"/>
  <c r="T14" i="4"/>
  <c r="P14" i="4"/>
  <c r="O14" i="4"/>
  <c r="R14" i="4"/>
  <c r="U16" i="4"/>
  <c r="Q16" i="4"/>
  <c r="S16" i="4"/>
  <c r="R16" i="4"/>
  <c r="T16" i="4"/>
  <c r="P16" i="4"/>
  <c r="O16" i="4"/>
  <c r="U18" i="4"/>
  <c r="Q18" i="4"/>
  <c r="O18" i="4"/>
  <c r="R18" i="4"/>
  <c r="T18" i="4"/>
  <c r="P18" i="4"/>
  <c r="S18" i="4"/>
  <c r="U13" i="4"/>
  <c r="Q13" i="4"/>
  <c r="S13" i="4"/>
  <c r="O13" i="4"/>
  <c r="R13" i="4"/>
  <c r="T13" i="4"/>
  <c r="P13" i="4"/>
  <c r="U15" i="4"/>
  <c r="Q15" i="4"/>
  <c r="S15" i="4"/>
  <c r="R15" i="4"/>
  <c r="T15" i="4"/>
  <c r="P15" i="4"/>
  <c r="O15" i="4"/>
  <c r="U17" i="4"/>
  <c r="Q17" i="4"/>
  <c r="S17" i="4"/>
  <c r="R17" i="4"/>
  <c r="T17" i="4"/>
  <c r="P17" i="4"/>
  <c r="O17" i="4"/>
  <c r="U12" i="4"/>
  <c r="Q12" i="4"/>
  <c r="T12" i="4"/>
  <c r="P12" i="4"/>
  <c r="S12" i="4"/>
  <c r="O12" i="4"/>
  <c r="R12" i="4"/>
  <c r="T9" i="4"/>
  <c r="P9" i="4"/>
  <c r="R9" i="4"/>
  <c r="Q9" i="4"/>
  <c r="S9" i="4"/>
  <c r="O9" i="4"/>
  <c r="U9" i="4"/>
  <c r="U4" i="4"/>
  <c r="AH17" i="11" l="1"/>
  <c r="AI17" i="11" s="1"/>
  <c r="AH18" i="11"/>
  <c r="AI18" i="11" s="1"/>
  <c r="AH19" i="11"/>
  <c r="AK19" i="11" s="1"/>
  <c r="AI19" i="11"/>
  <c r="AH20" i="11"/>
  <c r="AI20" i="11"/>
  <c r="AK20" i="11"/>
  <c r="AH21" i="11"/>
  <c r="AI21" i="11" s="1"/>
  <c r="AH22" i="11"/>
  <c r="AI22" i="11" s="1"/>
  <c r="AH23" i="11"/>
  <c r="AK23" i="11" s="1"/>
  <c r="AI23" i="11"/>
  <c r="AH24" i="11"/>
  <c r="AI24" i="11"/>
  <c r="AK24" i="11"/>
  <c r="AH25" i="11"/>
  <c r="AI25" i="11" s="1"/>
  <c r="AH26" i="11"/>
  <c r="AI26" i="11" s="1"/>
  <c r="AH27" i="11"/>
  <c r="AK27" i="11" s="1"/>
  <c r="AI27" i="11"/>
  <c r="AH28" i="11"/>
  <c r="AI28" i="11"/>
  <c r="AK28" i="11"/>
  <c r="AH29" i="11"/>
  <c r="AI29" i="11" s="1"/>
  <c r="AH30" i="11"/>
  <c r="AI30" i="11" s="1"/>
  <c r="B31" i="11"/>
  <c r="C31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E42" i="4"/>
  <c r="E46" i="4" s="1"/>
  <c r="AI31" i="11" l="1"/>
  <c r="AH31" i="11"/>
  <c r="AK29" i="11"/>
  <c r="AK25" i="11"/>
  <c r="AK21" i="11"/>
  <c r="AK17" i="11"/>
  <c r="AK30" i="11"/>
  <c r="AK26" i="11"/>
  <c r="AK22" i="11"/>
  <c r="AK18" i="11"/>
  <c r="E44" i="4"/>
  <c r="E47" i="4" s="1"/>
  <c r="AK31" i="11" l="1"/>
  <c r="E28" i="4" l="1"/>
  <c r="E30" i="4" l="1"/>
  <c r="E33" i="4" s="1"/>
  <c r="E32" i="4"/>
  <c r="E22" i="4" l="1"/>
  <c r="E20" i="4" l="1"/>
  <c r="S4" i="4" l="1"/>
  <c r="T4" i="4"/>
  <c r="P4" i="4"/>
  <c r="Q4" i="4"/>
  <c r="R4" i="4"/>
  <c r="O4" i="4"/>
  <c r="R5" i="4"/>
  <c r="Q5" i="4"/>
  <c r="P5" i="4"/>
  <c r="T5" i="4"/>
  <c r="S5" i="4"/>
  <c r="O5" i="4"/>
  <c r="U5" i="4"/>
  <c r="B17" i="4"/>
  <c r="N39" i="4" l="1"/>
  <c r="N40" i="4" s="1"/>
  <c r="N41" i="4" s="1"/>
  <c r="N42" i="4" s="1"/>
  <c r="R39" i="4" l="1"/>
  <c r="R40" i="4" s="1"/>
  <c r="R41" i="4" s="1"/>
  <c r="R42" i="4" s="1"/>
  <c r="S39" i="4"/>
  <c r="S40" i="4" s="1"/>
  <c r="S41" i="4" s="1"/>
  <c r="S42" i="4" s="1"/>
  <c r="U39" i="4"/>
  <c r="U40" i="4" s="1"/>
  <c r="U41" i="4" s="1"/>
  <c r="U42" i="4" s="1"/>
  <c r="Q39" i="4"/>
  <c r="Q40" i="4" s="1"/>
  <c r="Q41" i="4" s="1"/>
  <c r="Q42" i="4" s="1"/>
  <c r="O39" i="4"/>
  <c r="O40" i="4" s="1"/>
  <c r="O41" i="4" s="1"/>
  <c r="O42" i="4" s="1"/>
  <c r="T39" i="4"/>
  <c r="T40" i="4" s="1"/>
  <c r="T41" i="4" s="1"/>
  <c r="T42" i="4" s="1"/>
  <c r="P39" i="4"/>
  <c r="P40" i="4" s="1"/>
  <c r="P41" i="4" s="1"/>
  <c r="P42" i="4" s="1"/>
  <c r="E19" i="4" l="1"/>
  <c r="E23" i="4" s="1"/>
</calcChain>
</file>

<file path=xl/comments1.xml><?xml version="1.0" encoding="utf-8"?>
<comments xmlns="http://schemas.openxmlformats.org/spreadsheetml/2006/main">
  <authors>
    <author>Vrushabhendrappa, Vijaya(Cognizant)</author>
  </authors>
  <commentList>
    <comment ref="J2" authorId="0">
      <text>
        <r>
          <rPr>
            <b/>
            <sz val="8"/>
            <color indexed="81"/>
            <rFont val="Tahoma"/>
            <family val="2"/>
          </rPr>
          <t xml:space="preserve">It could be - </t>
        </r>
        <r>
          <rPr>
            <sz val="8"/>
            <color indexed="81"/>
            <rFont val="Tahoma"/>
            <family val="2"/>
          </rPr>
          <t xml:space="preserve">Templates / Components / Workflows / Setup / Configuration / Java Services
</t>
        </r>
      </text>
    </comment>
    <comment ref="M2" authorId="0">
      <text>
        <r>
          <rPr>
            <sz val="8"/>
            <color indexed="81"/>
            <rFont val="Tahoma"/>
            <family val="2"/>
          </rPr>
          <t xml:space="preserve">If this piece of code is already developed and plan to use it here
</t>
        </r>
      </text>
    </comment>
  </commentList>
</comments>
</file>

<file path=xl/sharedStrings.xml><?xml version="1.0" encoding="utf-8"?>
<sst xmlns="http://schemas.openxmlformats.org/spreadsheetml/2006/main" count="258" uniqueCount="182">
  <si>
    <t>Complexity</t>
  </si>
  <si>
    <t>Phase</t>
  </si>
  <si>
    <t>Template</t>
  </si>
  <si>
    <t>Simple</t>
  </si>
  <si>
    <t>Medium</t>
  </si>
  <si>
    <t>RS Validation</t>
  </si>
  <si>
    <t>Component</t>
  </si>
  <si>
    <t>Design</t>
  </si>
  <si>
    <t>Workflow</t>
  </si>
  <si>
    <t>UAT Support</t>
  </si>
  <si>
    <t>Very Simple</t>
  </si>
  <si>
    <t>Very Complex</t>
  </si>
  <si>
    <t>Complexity factor</t>
  </si>
  <si>
    <t>Java Services</t>
  </si>
  <si>
    <t>Setup</t>
  </si>
  <si>
    <t>Categories</t>
  </si>
  <si>
    <t>Reusability Factor</t>
  </si>
  <si>
    <t>Effort in Person Hours</t>
  </si>
  <si>
    <t>Coding Effort</t>
  </si>
  <si>
    <t xml:space="preserve">UI Integration </t>
  </si>
  <si>
    <t>Unit Testing Effort</t>
  </si>
  <si>
    <t>Effort in PH</t>
  </si>
  <si>
    <t>Complex</t>
  </si>
  <si>
    <t>Configuration</t>
  </si>
  <si>
    <t>GO LIVE</t>
  </si>
  <si>
    <t>Content Migration</t>
  </si>
  <si>
    <t>SIT Support</t>
  </si>
  <si>
    <t>UI Integration</t>
  </si>
  <si>
    <t>PM</t>
  </si>
  <si>
    <t>Complexity Vs Category</t>
  </si>
  <si>
    <t>Description</t>
  </si>
  <si>
    <t>Effort (% of Coding)</t>
  </si>
  <si>
    <t>UI Design</t>
  </si>
  <si>
    <t>UI Development</t>
  </si>
  <si>
    <t>System Testing</t>
  </si>
  <si>
    <t>Contingency</t>
  </si>
  <si>
    <t>UI support for testing phases</t>
  </si>
  <si>
    <t>PM effort</t>
  </si>
  <si>
    <t>Overall Effort in PW</t>
  </si>
  <si>
    <t>UI</t>
  </si>
  <si>
    <t>CQ</t>
  </si>
  <si>
    <t>Testing</t>
  </si>
  <si>
    <t>Live &amp; Warranty Support</t>
  </si>
  <si>
    <t>TOTAL</t>
  </si>
  <si>
    <t>With Contingency</t>
  </si>
  <si>
    <t>Overall Effort in PH</t>
  </si>
  <si>
    <t>Overall Effort in PD</t>
  </si>
  <si>
    <t>Home Page Template</t>
  </si>
  <si>
    <t>Scope of Work - CMS</t>
  </si>
  <si>
    <t>OUT OF Scope -  CMS</t>
  </si>
  <si>
    <t>ASSUMPTIONS &amp; DEPENDENCIES -  CMS</t>
  </si>
  <si>
    <t>Header</t>
  </si>
  <si>
    <t>Overall Effort in PW (Dev)</t>
  </si>
  <si>
    <t>UI Efforts in PD</t>
  </si>
  <si>
    <t>Support for System Testing</t>
  </si>
  <si>
    <t>Support for User Acceptance Testing</t>
  </si>
  <si>
    <t>Support for GO LIVE</t>
  </si>
  <si>
    <t xml:space="preserve">No new metadata structure / information architecture would be defined </t>
  </si>
  <si>
    <t>Any Administrative tasks that are related to configuration  (ON QA / UAT environments), domain would not be part of our scope</t>
  </si>
  <si>
    <t>All softwares that is required for development or testing would be provided by the customer</t>
  </si>
  <si>
    <t>Months</t>
  </si>
  <si>
    <t>M1</t>
  </si>
  <si>
    <t>M2</t>
  </si>
  <si>
    <t>M3</t>
  </si>
  <si>
    <t>M4</t>
  </si>
  <si>
    <t>M5</t>
  </si>
  <si>
    <t>M6</t>
  </si>
  <si>
    <t>M7</t>
  </si>
  <si>
    <t>M8</t>
  </si>
  <si>
    <t>Weeks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</si>
  <si>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</si>
  <si>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</si>
  <si>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</si>
  <si>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</si>
  <si>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</si>
  <si>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</si>
  <si>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</si>
  <si>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</si>
  <si>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</si>
  <si>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</si>
  <si>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</si>
  <si>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</si>
  <si>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</si>
  <si>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</si>
  <si>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</si>
  <si>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</si>
  <si>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</si>
  <si>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</si>
  <si>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</si>
  <si>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</si>
  <si>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</si>
  <si>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</si>
  <si>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</si>
  <si>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</si>
  <si>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</si>
  <si>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</si>
  <si>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Wk27</t>
  </si>
  <si>
    <t>Wk28</t>
  </si>
  <si>
    <t>Wk29</t>
  </si>
  <si>
    <t>Wk30</t>
  </si>
  <si>
    <t>Wk31</t>
  </si>
  <si>
    <t>Wk32</t>
  </si>
  <si>
    <t>Phases</t>
  </si>
  <si>
    <t>MAIN DEPENDENCIES</t>
  </si>
  <si>
    <t>Environment &amp; License Availability</t>
  </si>
  <si>
    <t>UI Mockups Finalized version</t>
  </si>
  <si>
    <t>Solution Design / Architecture Definition</t>
  </si>
  <si>
    <t>Coding &amp; Unit Testing</t>
  </si>
  <si>
    <t>System Testing &amp; Support</t>
  </si>
  <si>
    <t>UAT &amp; GO LIVE</t>
  </si>
  <si>
    <t>Role &amp; Location</t>
  </si>
  <si>
    <t>PW</t>
  </si>
  <si>
    <t>Rate</t>
  </si>
  <si>
    <t>Cost</t>
  </si>
  <si>
    <t>Onshore Project Manager (SM)</t>
  </si>
  <si>
    <t>Onshore ADOBE ARCHITECT (SM)</t>
  </si>
  <si>
    <t>Onshore Business Analyst (M)</t>
  </si>
  <si>
    <t>Onshore WCM Architect (M)</t>
  </si>
  <si>
    <t>Onshore CQ Lead (SA)</t>
  </si>
  <si>
    <t>Onshore UI LEAD (SA)</t>
  </si>
  <si>
    <t>Offshore Project Manger (SM)</t>
  </si>
  <si>
    <t>Offshore Business Analyst (M)</t>
  </si>
  <si>
    <t>Offshore CQ Architect (M)</t>
  </si>
  <si>
    <t>Offshore CQ Tech Lead (SA)</t>
  </si>
  <si>
    <t>Offshore CQ  Developers (A)</t>
  </si>
  <si>
    <t>Offshore CQ  Developers (PA)</t>
  </si>
  <si>
    <t>VD / HTML Developer (A)</t>
  </si>
  <si>
    <t>VD / HTML Developer (PA)</t>
  </si>
  <si>
    <t>Overall Total</t>
  </si>
  <si>
    <t>3rd application Integration readness</t>
  </si>
  <si>
    <t>CMS Implementation</t>
  </si>
  <si>
    <t>Requirement Gathering</t>
  </si>
  <si>
    <t>Unit Testing</t>
  </si>
  <si>
    <t>Migration</t>
  </si>
  <si>
    <t>Training, Training material preparation</t>
  </si>
  <si>
    <t># of Pages to be migrated</t>
  </si>
  <si>
    <t>Total # of pages across all countries</t>
  </si>
  <si>
    <t xml:space="preserve"># of Pages / Day </t>
  </si>
  <si>
    <t># of days required to complete</t>
  </si>
  <si>
    <t># of Pages / Day for Content review</t>
  </si>
  <si>
    <t>Total of days required for review</t>
  </si>
  <si>
    <t>Total days required to migrate content</t>
  </si>
  <si>
    <t># of Countries / Languages</t>
  </si>
  <si>
    <t>Content Migration &amp; validation</t>
  </si>
  <si>
    <t xml:space="preserve">Travel cost, Hardware cost are not inculded. </t>
  </si>
  <si>
    <t>PM effort is not included</t>
  </si>
  <si>
    <t>CI effort is not included</t>
  </si>
  <si>
    <t>Support for performance testing, load testing, regression testing not included.</t>
  </si>
  <si>
    <t>June</t>
  </si>
  <si>
    <t>July</t>
  </si>
  <si>
    <t>August</t>
  </si>
  <si>
    <t>September</t>
  </si>
  <si>
    <t>October</t>
  </si>
  <si>
    <t>November</t>
  </si>
  <si>
    <t>December</t>
  </si>
  <si>
    <t>Content Migration Effort in PD for Dynamic pages</t>
  </si>
  <si>
    <t>Content Migration Effort in PD for static pages</t>
  </si>
  <si>
    <t>Design and Development of Components and Templates in AEM</t>
  </si>
  <si>
    <t>Content Migration from current CMS to AEM</t>
  </si>
  <si>
    <t>Personalization</t>
  </si>
  <si>
    <t>Integration with existing Digital asset management system for assets</t>
  </si>
  <si>
    <t>Hardware sizing, environment setup, capacity planning and hosting solution</t>
  </si>
  <si>
    <t>Localization testing - Validating that the correct translated text is being used is not in scope</t>
  </si>
  <si>
    <t>Device Testing (for RWD / Mobile App): Testing the Non Functional Requirements are out of scope</t>
  </si>
  <si>
    <t>Login functionality, User management and SSO integration is not in scope</t>
  </si>
  <si>
    <t>E-commerce, PIM integration</t>
  </si>
  <si>
    <t>Content translation</t>
  </si>
  <si>
    <t>For Content migration, we have considered 50 dynamic and 150 static pages</t>
  </si>
  <si>
    <t>We assumed that RWD compliant HTML pages will be provided by CI team, AEM team will incorporate them into components</t>
  </si>
  <si>
    <t>Column control component</t>
  </si>
  <si>
    <t>Topnav component</t>
  </si>
  <si>
    <t>Logo component</t>
  </si>
  <si>
    <t>Rich text component</t>
  </si>
  <si>
    <t>Image component</t>
  </si>
  <si>
    <t>Redirect component</t>
  </si>
  <si>
    <t>List component</t>
  </si>
  <si>
    <t>One Column Template</t>
  </si>
  <si>
    <t>Breadcrumb</t>
  </si>
  <si>
    <t>Footer(4 Types)</t>
  </si>
  <si>
    <t>Google recaptcha component</t>
  </si>
  <si>
    <t>Vimeo Video component</t>
  </si>
  <si>
    <t>Form component(2 Types)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</si>
</sst>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"/>
    <numFmt numFmtId="166" formatCode="0.0;[Red]0.0"/>
    <numFmt numFmtId="167" formatCode="0.00;[Red]0.00"/>
    <numFmt numFmtId="168" formatCode="0;[Red]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9"/>
      <name val="Arial"/>
      <family val="2"/>
    </font>
    <font>
      <sz val="8"/>
      <color indexed="8"/>
      <name val="Arial"/>
      <family val="2"/>
    </font>
    <font>
      <u/>
      <sz val="9"/>
      <color theme="10"/>
      <name val="Arial"/>
      <family val="2"/>
    </font>
    <font>
      <b/>
      <i/>
      <sz val="9"/>
      <color theme="1"/>
      <name val="Arial"/>
      <family val="2"/>
    </font>
    <font>
      <b/>
      <sz val="9"/>
      <color rgb="FFFF0000"/>
      <name val="Arial"/>
      <family val="2"/>
    </font>
    <font>
      <sz val="9"/>
      <color rgb="FFC00000"/>
      <name val="Arial"/>
      <family val="2"/>
    </font>
    <font>
      <b/>
      <sz val="9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182">
    <xf numFmtId="0" fontId="0" fillId="0" borderId="0"/>
    <xf numFmtId="0" fontId="2" fillId="0" borderId="0"/>
    <xf numFmtId="0" fontId="3" fillId="0" borderId="0"/>
    <xf numFmtId="0" fontId="1" fillId="0" borderId="0"/>
    <xf numFmtId="0" fontId="3" fillId="0" borderId="0"/>
    <xf numFmtId="16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1" fillId="0" borderId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30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5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28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3" fillId="31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32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0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19" fillId="23" borderId="0" applyNumberFormat="0" applyBorder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0" fillId="40" borderId="26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1" fillId="41" borderId="27" applyNumberFormat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3" fillId="24" borderId="0" applyNumberFormat="0" applyBorder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4" fillId="0" borderId="28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5" fillId="0" borderId="29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30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7" fillId="27" borderId="26" applyNumberFormat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8" fillId="0" borderId="31" applyNumberFormat="0" applyFill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9" fillId="42" borderId="0" applyNumberFormat="0" applyBorder="0" applyAlignment="0" applyProtection="0"/>
    <xf numFmtId="0" fontId="2" fillId="0" borderId="0"/>
    <xf numFmtId="0" fontId="2" fillId="0" borderId="0"/>
    <xf numFmtId="0" fontId="1" fillId="0" borderId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2" fillId="43" borderId="32" applyNumberFormat="0" applyFon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0" fillId="40" borderId="33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2" fillId="0" borderId="34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/>
    <xf numFmtId="0" fontId="7" fillId="0" borderId="4" xfId="0" applyFont="1" applyBorder="1" applyAlignment="1">
      <alignment wrapText="1"/>
    </xf>
    <xf numFmtId="0" fontId="6" fillId="10" borderId="19" xfId="0" applyFont="1" applyFill="1" applyBorder="1" applyAlignment="1">
      <alignment wrapText="1"/>
    </xf>
    <xf numFmtId="0" fontId="7" fillId="0" borderId="20" xfId="0" applyFont="1" applyBorder="1" applyAlignment="1">
      <alignment wrapText="1"/>
    </xf>
    <xf numFmtId="0" fontId="7" fillId="11" borderId="21" xfId="0" applyFont="1" applyFill="1" applyBorder="1" applyAlignment="1">
      <alignment wrapText="1"/>
    </xf>
    <xf numFmtId="0" fontId="7" fillId="11" borderId="20" xfId="0" applyFont="1" applyFill="1" applyBorder="1" applyAlignment="1">
      <alignment wrapText="1"/>
    </xf>
    <xf numFmtId="0" fontId="0" fillId="11" borderId="0" xfId="0" applyFill="1"/>
    <xf numFmtId="0" fontId="7" fillId="0" borderId="20" xfId="0" applyFont="1" applyBorder="1" applyAlignment="1">
      <alignment wrapText="1"/>
    </xf>
    <xf numFmtId="0" fontId="0" fillId="0" borderId="0" xfId="0"/>
    <xf numFmtId="0" fontId="7" fillId="0" borderId="20" xfId="0" applyFont="1" applyBorder="1" applyAlignment="1">
      <alignment wrapText="1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textRotation="90"/>
    </xf>
    <xf numFmtId="0" fontId="9" fillId="0" borderId="4" xfId="0" applyFont="1" applyBorder="1"/>
    <xf numFmtId="0" fontId="10" fillId="13" borderId="5" xfId="0" applyFont="1" applyFill="1" applyBorder="1" applyAlignment="1">
      <alignment horizontal="left"/>
    </xf>
    <xf numFmtId="0" fontId="10" fillId="14" borderId="5" xfId="0" applyFont="1" applyFill="1" applyBorder="1" applyAlignment="1">
      <alignment horizontal="left" indent="2"/>
    </xf>
    <xf numFmtId="0" fontId="9" fillId="13" borderId="4" xfId="0" applyFont="1" applyFill="1" applyBorder="1"/>
    <xf numFmtId="0" fontId="9" fillId="15" borderId="5" xfId="0" applyFont="1" applyFill="1" applyBorder="1" applyAlignment="1">
      <alignment horizontal="left" indent="2"/>
    </xf>
    <xf numFmtId="0" fontId="9" fillId="4" borderId="4" xfId="0" applyFont="1" applyFill="1" applyBorder="1"/>
    <xf numFmtId="0" fontId="9" fillId="16" borderId="4" xfId="0" applyFont="1" applyFill="1" applyBorder="1"/>
    <xf numFmtId="0" fontId="9" fillId="7" borderId="4" xfId="0" applyFont="1" applyFill="1" applyBorder="1"/>
    <xf numFmtId="0" fontId="9" fillId="11" borderId="4" xfId="0" applyFont="1" applyFill="1" applyBorder="1"/>
    <xf numFmtId="0" fontId="9" fillId="17" borderId="4" xfId="0" applyFont="1" applyFill="1" applyBorder="1"/>
    <xf numFmtId="0" fontId="9" fillId="18" borderId="4" xfId="0" applyFont="1" applyFill="1" applyBorder="1"/>
    <xf numFmtId="0" fontId="9" fillId="0" borderId="23" xfId="0" applyFont="1" applyBorder="1"/>
    <xf numFmtId="0" fontId="6" fillId="7" borderId="4" xfId="0" applyFont="1" applyFill="1" applyBorder="1" applyAlignment="1">
      <alignment vertical="top"/>
    </xf>
    <xf numFmtId="0" fontId="9" fillId="7" borderId="4" xfId="0" applyFont="1" applyFill="1" applyBorder="1" applyAlignment="1">
      <alignment horizontal="center" textRotation="90"/>
    </xf>
    <xf numFmtId="0" fontId="7" fillId="19" borderId="4" xfId="0" applyFont="1" applyFill="1" applyBorder="1" applyAlignment="1">
      <alignment horizontal="center"/>
    </xf>
    <xf numFmtId="0" fontId="7" fillId="0" borderId="4" xfId="0" applyFont="1" applyBorder="1"/>
    <xf numFmtId="0" fontId="0" fillId="0" borderId="4" xfId="0" applyBorder="1" applyAlignment="1">
      <alignment horizontal="center"/>
    </xf>
    <xf numFmtId="165" fontId="11" fillId="4" borderId="4" xfId="0" applyNumberFormat="1" applyFont="1" applyFill="1" applyBorder="1" applyAlignment="1">
      <alignment horizontal="left"/>
    </xf>
    <xf numFmtId="0" fontId="0" fillId="4" borderId="4" xfId="0" applyFill="1" applyBorder="1" applyAlignment="1">
      <alignment horizontal="center"/>
    </xf>
    <xf numFmtId="0" fontId="7" fillId="20" borderId="4" xfId="0" applyFont="1" applyFill="1" applyBorder="1"/>
    <xf numFmtId="0" fontId="0" fillId="20" borderId="4" xfId="0" applyFill="1" applyBorder="1" applyAlignment="1">
      <alignment horizontal="center"/>
    </xf>
    <xf numFmtId="0" fontId="12" fillId="4" borderId="4" xfId="0" applyFont="1" applyFill="1" applyBorder="1" applyAlignment="1">
      <alignment horizontal="left" vertical="center" wrapText="1"/>
    </xf>
    <xf numFmtId="0" fontId="7" fillId="19" borderId="4" xfId="0" applyFont="1" applyFill="1" applyBorder="1"/>
    <xf numFmtId="1" fontId="11" fillId="19" borderId="4" xfId="0" applyNumberFormat="1" applyFont="1" applyFill="1" applyBorder="1" applyAlignment="1">
      <alignment horizontal="center"/>
    </xf>
    <xf numFmtId="0" fontId="7" fillId="0" borderId="25" xfId="0" applyFont="1" applyFill="1" applyBorder="1" applyAlignment="1">
      <alignment wrapText="1"/>
    </xf>
    <xf numFmtId="0" fontId="7" fillId="0" borderId="0" xfId="0" applyFont="1"/>
    <xf numFmtId="0" fontId="7" fillId="0" borderId="4" xfId="0" applyFont="1" applyBorder="1" applyAlignment="1">
      <alignment horizontal="center"/>
    </xf>
    <xf numFmtId="0" fontId="6" fillId="8" borderId="5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left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right"/>
    </xf>
    <xf numFmtId="0" fontId="7" fillId="0" borderId="6" xfId="0" applyFont="1" applyBorder="1" applyAlignment="1">
      <alignment horizontal="center"/>
    </xf>
    <xf numFmtId="0" fontId="7" fillId="0" borderId="4" xfId="0" applyFont="1" applyBorder="1" applyAlignment="1">
      <alignment vertical="center" wrapText="1"/>
    </xf>
    <xf numFmtId="0" fontId="7" fillId="0" borderId="4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9" fontId="7" fillId="0" borderId="4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right"/>
    </xf>
    <xf numFmtId="0" fontId="7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/>
    </xf>
    <xf numFmtId="9" fontId="7" fillId="0" borderId="6" xfId="0" applyNumberFormat="1" applyFont="1" applyBorder="1" applyAlignment="1">
      <alignment horizontal="center"/>
    </xf>
    <xf numFmtId="1" fontId="7" fillId="0" borderId="9" xfId="0" applyNumberFormat="1" applyFont="1" applyBorder="1" applyAlignment="1">
      <alignment horizontal="center"/>
    </xf>
    <xf numFmtId="0" fontId="7" fillId="0" borderId="5" xfId="0" applyFont="1" applyFill="1" applyBorder="1" applyAlignment="1">
      <alignment horizontal="right"/>
    </xf>
    <xf numFmtId="0" fontId="7" fillId="0" borderId="15" xfId="0" applyFont="1" applyBorder="1" applyAlignment="1">
      <alignment horizontal="center"/>
    </xf>
    <xf numFmtId="9" fontId="7" fillId="0" borderId="15" xfId="0" applyNumberFormat="1" applyFont="1" applyBorder="1" applyAlignment="1">
      <alignment horizontal="center"/>
    </xf>
    <xf numFmtId="2" fontId="6" fillId="6" borderId="6" xfId="0" applyNumberFormat="1" applyFont="1" applyFill="1" applyBorder="1" applyAlignment="1">
      <alignment horizontal="center"/>
    </xf>
    <xf numFmtId="9" fontId="7" fillId="0" borderId="13" xfId="0" applyNumberFormat="1" applyFont="1" applyBorder="1" applyAlignment="1">
      <alignment horizontal="center"/>
    </xf>
    <xf numFmtId="2" fontId="15" fillId="9" borderId="9" xfId="0" applyNumberFormat="1" applyFont="1" applyFill="1" applyBorder="1" applyAlignment="1">
      <alignment horizontal="center"/>
    </xf>
    <xf numFmtId="0" fontId="7" fillId="7" borderId="4" xfId="0" applyFont="1" applyFill="1" applyBorder="1" applyAlignment="1">
      <alignment horizontal="center"/>
    </xf>
    <xf numFmtId="0" fontId="7" fillId="11" borderId="4" xfId="0" applyFont="1" applyFill="1" applyBorder="1" applyAlignment="1">
      <alignment vertical="center"/>
    </xf>
    <xf numFmtId="0" fontId="7" fillId="11" borderId="4" xfId="0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7" fillId="11" borderId="4" xfId="0" applyFont="1" applyFill="1" applyBorder="1"/>
    <xf numFmtId="0" fontId="9" fillId="21" borderId="4" xfId="0" applyFont="1" applyFill="1" applyBorder="1"/>
    <xf numFmtId="2" fontId="0" fillId="0" borderId="4" xfId="0" applyNumberFormat="1" applyBorder="1" applyAlignment="1">
      <alignment horizontal="center"/>
    </xf>
    <xf numFmtId="2" fontId="11" fillId="19" borderId="4" xfId="0" applyNumberFormat="1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20" borderId="4" xfId="0" applyNumberFormat="1" applyFill="1" applyBorder="1" applyAlignment="1">
      <alignment horizontal="center"/>
    </xf>
    <xf numFmtId="2" fontId="0" fillId="0" borderId="24" xfId="0" applyNumberFormat="1" applyFill="1" applyBorder="1" applyAlignment="1">
      <alignment horizontal="center"/>
    </xf>
    <xf numFmtId="167" fontId="0" fillId="0" borderId="0" xfId="0" applyNumberFormat="1"/>
    <xf numFmtId="168" fontId="17" fillId="4" borderId="4" xfId="0" applyNumberFormat="1" applyFont="1" applyFill="1" applyBorder="1" applyAlignment="1">
      <alignment horizontal="center"/>
    </xf>
    <xf numFmtId="168" fontId="11" fillId="19" borderId="4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2" fontId="15" fillId="9" borderId="13" xfId="0" applyNumberFormat="1" applyFont="1" applyFill="1" applyBorder="1" applyAlignment="1">
      <alignment horizontal="center"/>
    </xf>
    <xf numFmtId="2" fontId="15" fillId="9" borderId="22" xfId="0" applyNumberFormat="1" applyFont="1" applyFill="1" applyBorder="1" applyAlignment="1">
      <alignment horizontal="center"/>
    </xf>
    <xf numFmtId="0" fontId="7" fillId="7" borderId="4" xfId="0" applyFont="1" applyFill="1" applyBorder="1" applyAlignment="1">
      <alignment horizontal="right"/>
    </xf>
    <xf numFmtId="0" fontId="7" fillId="0" borderId="10" xfId="0" applyFont="1" applyBorder="1" applyAlignment="1">
      <alignment horizontal="right"/>
    </xf>
    <xf numFmtId="0" fontId="7" fillId="0" borderId="11" xfId="0" applyFont="1" applyBorder="1" applyAlignment="1">
      <alignment horizontal="right"/>
    </xf>
    <xf numFmtId="0" fontId="7" fillId="0" borderId="12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0" fontId="6" fillId="4" borderId="15" xfId="0" applyFont="1" applyFill="1" applyBorder="1" applyAlignment="1">
      <alignment horizontal="center" vertical="top" wrapText="1"/>
    </xf>
    <xf numFmtId="0" fontId="6" fillId="4" borderId="10" xfId="0" applyFont="1" applyFill="1" applyBorder="1" applyAlignment="1">
      <alignment horizontal="center" vertical="top" wrapText="1"/>
    </xf>
    <xf numFmtId="0" fontId="6" fillId="4" borderId="11" xfId="0" applyFont="1" applyFill="1" applyBorder="1" applyAlignment="1">
      <alignment horizontal="center" vertical="top" wrapText="1"/>
    </xf>
    <xf numFmtId="0" fontId="7" fillId="0" borderId="4" xfId="0" applyFont="1" applyBorder="1" applyAlignment="1">
      <alignment horizontal="right"/>
    </xf>
    <xf numFmtId="0" fontId="6" fillId="5" borderId="4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6" fillId="7" borderId="2" xfId="0" applyFont="1" applyFill="1" applyBorder="1" applyAlignment="1">
      <alignment horizontal="center"/>
    </xf>
    <xf numFmtId="0" fontId="6" fillId="7" borderId="3" xfId="0" applyFont="1" applyFill="1" applyBorder="1" applyAlignment="1">
      <alignment horizontal="center"/>
    </xf>
    <xf numFmtId="0" fontId="13" fillId="10" borderId="4" xfId="6" applyFont="1" applyFill="1" applyBorder="1" applyAlignment="1">
      <alignment horizontal="center" vertical="center" wrapText="1"/>
    </xf>
    <xf numFmtId="0" fontId="14" fillId="10" borderId="4" xfId="0" applyFont="1" applyFill="1" applyBorder="1" applyAlignment="1">
      <alignment horizontal="center" vertical="center" wrapText="1"/>
    </xf>
    <xf numFmtId="0" fontId="6" fillId="6" borderId="5" xfId="0" applyFont="1" applyFill="1" applyBorder="1" applyAlignment="1">
      <alignment horizontal="center"/>
    </xf>
    <xf numFmtId="0" fontId="6" fillId="6" borderId="4" xfId="0" applyFont="1" applyFill="1" applyBorder="1" applyAlignment="1">
      <alignment horizontal="center"/>
    </xf>
    <xf numFmtId="0" fontId="7" fillId="0" borderId="16" xfId="0" applyFont="1" applyBorder="1" applyAlignment="1">
      <alignment horizontal="right"/>
    </xf>
    <xf numFmtId="0" fontId="7" fillId="0" borderId="13" xfId="0" applyFont="1" applyBorder="1" applyAlignment="1">
      <alignment horizontal="right"/>
    </xf>
    <xf numFmtId="0" fontId="7" fillId="0" borderId="14" xfId="0" applyFont="1" applyBorder="1" applyAlignment="1">
      <alignment horizontal="right"/>
    </xf>
    <xf numFmtId="0" fontId="7" fillId="0" borderId="15" xfId="0" applyFont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16" fillId="0" borderId="0" xfId="0" applyFont="1" applyAlignment="1">
      <alignment wrapText="1"/>
    </xf>
    <xf numFmtId="0" fontId="16" fillId="0" borderId="0" xfId="0" applyFont="1"/>
    <xf numFmtId="17" fontId="9" fillId="12" borderId="24" xfId="0" applyNumberFormat="1" applyFont="1" applyFill="1" applyBorder="1" applyAlignment="1">
      <alignment horizontal="center"/>
    </xf>
    <xf numFmtId="0" fontId="9" fillId="12" borderId="24" xfId="0" applyFont="1" applyFill="1" applyBorder="1" applyAlignment="1">
      <alignment horizontal="center"/>
    </xf>
    <xf numFmtId="0" fontId="9" fillId="7" borderId="24" xfId="0" applyFont="1" applyFill="1" applyBorder="1" applyAlignment="1">
      <alignment horizontal="center"/>
    </xf>
    <xf numFmtId="0" fontId="0" fillId="6" borderId="16" xfId="0" applyFont="1" applyFill="1" applyBorder="1" applyAlignment="1">
      <alignment horizontal="left"/>
    </xf>
    <xf numFmtId="0" fontId="0" fillId="6" borderId="10" xfId="0" applyFont="1" applyFill="1" applyBorder="1" applyAlignment="1">
      <alignment horizontal="left"/>
    </xf>
    <xf numFmtId="0" fontId="9" fillId="7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</cellXfs>
  <cellStyles count="182">
    <cellStyle name="20% - Accent1 2" xfId="9"/>
    <cellStyle name="20% - Accent1 3" xfId="10"/>
    <cellStyle name="20% - Accent1 4" xfId="11"/>
    <cellStyle name="20% - Accent1 5" xfId="12"/>
    <cellStyle name="20% - Accent2 2" xfId="13"/>
    <cellStyle name="20% - Accent2 3" xfId="14"/>
    <cellStyle name="20% - Accent2 4" xfId="15"/>
    <cellStyle name="20% - Accent2 5" xfId="16"/>
    <cellStyle name="20% - Accent3 2" xfId="17"/>
    <cellStyle name="20% - Accent3 3" xfId="18"/>
    <cellStyle name="20% - Accent3 4" xfId="19"/>
    <cellStyle name="20% - Accent3 5" xfId="20"/>
    <cellStyle name="20% - Accent4 2" xfId="21"/>
    <cellStyle name="20% - Accent4 3" xfId="22"/>
    <cellStyle name="20% - Accent4 4" xfId="23"/>
    <cellStyle name="20% - Accent4 5" xfId="24"/>
    <cellStyle name="20% - Accent5 2" xfId="25"/>
    <cellStyle name="20% - Accent5 3" xfId="26"/>
    <cellStyle name="20% - Accent5 4" xfId="27"/>
    <cellStyle name="20% - Accent5 5" xfId="28"/>
    <cellStyle name="20% - Accent6 2" xfId="29"/>
    <cellStyle name="20% - Accent6 3" xfId="30"/>
    <cellStyle name="20% - Accent6 4" xfId="31"/>
    <cellStyle name="20% - Accent6 5" xfId="32"/>
    <cellStyle name="40% - Accent1 2" xfId="33"/>
    <cellStyle name="40% - Accent1 3" xfId="34"/>
    <cellStyle name="40% - Accent1 4" xfId="35"/>
    <cellStyle name="40% - Accent1 5" xfId="36"/>
    <cellStyle name="40% - Accent2 2" xfId="37"/>
    <cellStyle name="40% - Accent2 3" xfId="38"/>
    <cellStyle name="40% - Accent2 4" xfId="39"/>
    <cellStyle name="40% - Accent2 5" xfId="40"/>
    <cellStyle name="40% - Accent3 2" xfId="41"/>
    <cellStyle name="40% - Accent3 3" xfId="42"/>
    <cellStyle name="40% - Accent3 4" xfId="43"/>
    <cellStyle name="40% - Accent3 5" xfId="44"/>
    <cellStyle name="40% - Accent4 2" xfId="45"/>
    <cellStyle name="40% - Accent4 3" xfId="46"/>
    <cellStyle name="40% - Accent4 4" xfId="47"/>
    <cellStyle name="40% - Accent4 5" xfId="48"/>
    <cellStyle name="40% - Accent5 2" xfId="49"/>
    <cellStyle name="40% - Accent5 3" xfId="50"/>
    <cellStyle name="40% - Accent5 4" xfId="51"/>
    <cellStyle name="40% - Accent5 5" xfId="52"/>
    <cellStyle name="40% - Accent6 2" xfId="53"/>
    <cellStyle name="40% - Accent6 3" xfId="54"/>
    <cellStyle name="40% - Accent6 4" xfId="55"/>
    <cellStyle name="40% - Accent6 5" xfId="56"/>
    <cellStyle name="60% - Accent1 2" xfId="57"/>
    <cellStyle name="60% - Accent1 3" xfId="58"/>
    <cellStyle name="60% - Accent1 4" xfId="59"/>
    <cellStyle name="60% - Accent1 5" xfId="60"/>
    <cellStyle name="60% - Accent2 2" xfId="61"/>
    <cellStyle name="60% - Accent2 3" xfId="62"/>
    <cellStyle name="60% - Accent2 4" xfId="63"/>
    <cellStyle name="60% - Accent2 5" xfId="64"/>
    <cellStyle name="60% - Accent3 2" xfId="65"/>
    <cellStyle name="60% - Accent3 3" xfId="66"/>
    <cellStyle name="60% - Accent3 4" xfId="67"/>
    <cellStyle name="60% - Accent3 5" xfId="68"/>
    <cellStyle name="60% - Accent4 2" xfId="69"/>
    <cellStyle name="60% - Accent4 3" xfId="70"/>
    <cellStyle name="60% - Accent4 4" xfId="71"/>
    <cellStyle name="60% - Accent4 5" xfId="72"/>
    <cellStyle name="60% - Accent5 2" xfId="73"/>
    <cellStyle name="60% - Accent5 3" xfId="74"/>
    <cellStyle name="60% - Accent5 4" xfId="75"/>
    <cellStyle name="60% - Accent5 5" xfId="76"/>
    <cellStyle name="60% - Accent6 2" xfId="77"/>
    <cellStyle name="60% - Accent6 3" xfId="78"/>
    <cellStyle name="60% - Accent6 4" xfId="79"/>
    <cellStyle name="60% - Accent6 5" xfId="80"/>
    <cellStyle name="Accent1 2" xfId="81"/>
    <cellStyle name="Accent1 3" xfId="82"/>
    <cellStyle name="Accent1 4" xfId="83"/>
    <cellStyle name="Accent1 5" xfId="84"/>
    <cellStyle name="Accent2 2" xfId="85"/>
    <cellStyle name="Accent2 3" xfId="86"/>
    <cellStyle name="Accent2 4" xfId="87"/>
    <cellStyle name="Accent2 5" xfId="88"/>
    <cellStyle name="Accent3 2" xfId="89"/>
    <cellStyle name="Accent3 3" xfId="90"/>
    <cellStyle name="Accent3 4" xfId="91"/>
    <cellStyle name="Accent3 5" xfId="92"/>
    <cellStyle name="Accent4 2" xfId="93"/>
    <cellStyle name="Accent4 3" xfId="94"/>
    <cellStyle name="Accent4 4" xfId="95"/>
    <cellStyle name="Accent4 5" xfId="96"/>
    <cellStyle name="Accent5 2" xfId="97"/>
    <cellStyle name="Accent5 3" xfId="98"/>
    <cellStyle name="Accent5 4" xfId="99"/>
    <cellStyle name="Accent5 5" xfId="100"/>
    <cellStyle name="Accent6 2" xfId="101"/>
    <cellStyle name="Accent6 3" xfId="102"/>
    <cellStyle name="Accent6 4" xfId="103"/>
    <cellStyle name="Accent6 5" xfId="104"/>
    <cellStyle name="Bad 2" xfId="105"/>
    <cellStyle name="Bad 3" xfId="106"/>
    <cellStyle name="Bad 4" xfId="107"/>
    <cellStyle name="Bad 5" xfId="108"/>
    <cellStyle name="Calculation 2" xfId="109"/>
    <cellStyle name="Calculation 3" xfId="110"/>
    <cellStyle name="Calculation 4" xfId="111"/>
    <cellStyle name="Calculation 5" xfId="112"/>
    <cellStyle name="Check Cell 2" xfId="113"/>
    <cellStyle name="Check Cell 3" xfId="114"/>
    <cellStyle name="Check Cell 4" xfId="115"/>
    <cellStyle name="Check Cell 5" xfId="116"/>
    <cellStyle name="Comma 2" xfId="5"/>
    <cellStyle name="Explanatory Text 2" xfId="117"/>
    <cellStyle name="Explanatory Text 3" xfId="118"/>
    <cellStyle name="Explanatory Text 4" xfId="119"/>
    <cellStyle name="Explanatory Text 5" xfId="120"/>
    <cellStyle name="Good 2" xfId="121"/>
    <cellStyle name="Good 3" xfId="122"/>
    <cellStyle name="Good 4" xfId="123"/>
    <cellStyle name="Good 5" xfId="124"/>
    <cellStyle name="Heading 1 2" xfId="125"/>
    <cellStyle name="Heading 1 3" xfId="126"/>
    <cellStyle name="Heading 1 4" xfId="127"/>
    <cellStyle name="Heading 1 5" xfId="128"/>
    <cellStyle name="Heading 2 2" xfId="129"/>
    <cellStyle name="Heading 2 3" xfId="130"/>
    <cellStyle name="Heading 2 4" xfId="131"/>
    <cellStyle name="Heading 2 5" xfId="132"/>
    <cellStyle name="Heading 3 2" xfId="133"/>
    <cellStyle name="Heading 3 3" xfId="134"/>
    <cellStyle name="Heading 3 4" xfId="135"/>
    <cellStyle name="Heading 3 5" xfId="136"/>
    <cellStyle name="Heading 4 2" xfId="137"/>
    <cellStyle name="Heading 4 3" xfId="138"/>
    <cellStyle name="Heading 4 4" xfId="139"/>
    <cellStyle name="Heading 4 5" xfId="140"/>
    <cellStyle name="Hyperlink" xfId="6" builtinId="8"/>
    <cellStyle name="Input 2" xfId="141"/>
    <cellStyle name="Input 3" xfId="142"/>
    <cellStyle name="Input 4" xfId="143"/>
    <cellStyle name="Input 5" xfId="144"/>
    <cellStyle name="Linked Cell 2" xfId="145"/>
    <cellStyle name="Linked Cell 3" xfId="146"/>
    <cellStyle name="Linked Cell 4" xfId="147"/>
    <cellStyle name="Linked Cell 5" xfId="148"/>
    <cellStyle name="Neutral 2" xfId="149"/>
    <cellStyle name="Neutral 3" xfId="150"/>
    <cellStyle name="Neutral 4" xfId="151"/>
    <cellStyle name="Neutral 5" xfId="152"/>
    <cellStyle name="Normal" xfId="0" builtinId="0"/>
    <cellStyle name="Normal 12" xfId="7"/>
    <cellStyle name="Normal 2" xfId="1"/>
    <cellStyle name="Normal 2 2" xfId="2"/>
    <cellStyle name="Normal 3" xfId="3"/>
    <cellStyle name="Normal 3 2" xfId="153"/>
    <cellStyle name="Normal 3 3" xfId="154"/>
    <cellStyle name="Normal 5" xfId="4"/>
    <cellStyle name="Normal 5 2" xfId="8"/>
    <cellStyle name="Normal 6" xfId="155"/>
    <cellStyle name="Note 2" xfId="156"/>
    <cellStyle name="Note 3" xfId="157"/>
    <cellStyle name="Note 3 2" xfId="158"/>
    <cellStyle name="Note 3 3" xfId="159"/>
    <cellStyle name="Note 4" xfId="160"/>
    <cellStyle name="Note 4 2" xfId="161"/>
    <cellStyle name="Note 4 3" xfId="162"/>
    <cellStyle name="Note 5" xfId="163"/>
    <cellStyle name="Note 5 2" xfId="164"/>
    <cellStyle name="Note 5 3" xfId="165"/>
    <cellStyle name="Output 2" xfId="166"/>
    <cellStyle name="Output 3" xfId="167"/>
    <cellStyle name="Output 4" xfId="168"/>
    <cellStyle name="Output 5" xfId="169"/>
    <cellStyle name="Title 2" xfId="170"/>
    <cellStyle name="Title 3" xfId="171"/>
    <cellStyle name="Title 4" xfId="172"/>
    <cellStyle name="Title 5" xfId="173"/>
    <cellStyle name="Total 2" xfId="174"/>
    <cellStyle name="Total 3" xfId="175"/>
    <cellStyle name="Total 4" xfId="176"/>
    <cellStyle name="Total 5" xfId="177"/>
    <cellStyle name="Warning Text 2" xfId="178"/>
    <cellStyle name="Warning Text 3" xfId="179"/>
    <cellStyle name="Warning Text 4" xfId="180"/>
    <cellStyle name="Warning Text 5" xfId="18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47"/>
  <sheetViews>
    <sheetView topLeftCell="D34" zoomScale="98" zoomScaleNormal="98" workbookViewId="0">
      <selection activeCell="L16" sqref="L16"/>
    </sheetView>
  </sheetViews>
  <sheetFormatPr defaultRowHeight="12" x14ac:dyDescent="0.2"/>
  <cols>
    <col min="1" max="1" width="19.7109375" style="39" bestFit="1" customWidth="1"/>
    <col min="2" max="2" width="15.28515625" style="39" bestFit="1" customWidth="1"/>
    <col min="3" max="3" width="8.5703125" style="39" bestFit="1" customWidth="1"/>
    <col min="4" max="4" width="6.85546875" style="39" bestFit="1" customWidth="1"/>
    <col min="5" max="5" width="7" style="39" bestFit="1" customWidth="1"/>
    <col min="6" max="6" width="8.42578125" style="39" bestFit="1" customWidth="1"/>
    <col min="7" max="7" width="5.140625" style="39" bestFit="1" customWidth="1"/>
    <col min="8" max="8" width="9.140625" style="39"/>
    <col min="9" max="9" width="39.85546875" style="39" bestFit="1" customWidth="1"/>
    <col min="10" max="10" width="11.28515625" style="39" bestFit="1" customWidth="1"/>
    <col min="11" max="11" width="12.7109375" style="69" bestFit="1" customWidth="1"/>
    <col min="12" max="12" width="9.140625" style="69" bestFit="1" customWidth="1"/>
    <col min="13" max="13" width="9" style="69" bestFit="1" customWidth="1"/>
    <col min="14" max="14" width="7.28515625" style="69" bestFit="1" customWidth="1"/>
    <col min="15" max="15" width="7.140625" style="69" bestFit="1" customWidth="1"/>
    <col min="16" max="16" width="8.28515625" style="69" bestFit="1" customWidth="1"/>
    <col min="17" max="17" width="8" style="69" bestFit="1" customWidth="1"/>
    <col min="18" max="18" width="8.85546875" style="69" bestFit="1" customWidth="1"/>
    <col min="19" max="19" width="8" style="69" bestFit="1" customWidth="1"/>
    <col min="20" max="20" width="7.140625" style="69" bestFit="1" customWidth="1"/>
    <col min="21" max="21" width="8" style="69" bestFit="1" customWidth="1"/>
    <col min="22" max="16384" width="9.140625" style="39"/>
  </cols>
  <sheetData>
    <row r="1" spans="1:21" x14ac:dyDescent="0.2">
      <c r="A1" s="95" t="s">
        <v>21</v>
      </c>
      <c r="B1" s="96"/>
      <c r="C1" s="96"/>
      <c r="D1" s="96"/>
      <c r="E1" s="96"/>
      <c r="F1" s="96"/>
      <c r="G1" s="97"/>
      <c r="I1" s="29"/>
      <c r="J1" s="29"/>
      <c r="K1" s="40"/>
      <c r="L1" s="40"/>
      <c r="M1" s="40"/>
      <c r="N1" s="92" t="s">
        <v>17</v>
      </c>
      <c r="O1" s="92"/>
      <c r="P1" s="92"/>
      <c r="Q1" s="92"/>
      <c r="R1" s="92"/>
      <c r="S1" s="92"/>
      <c r="T1" s="92"/>
      <c r="U1" s="92"/>
    </row>
    <row r="2" spans="1:21" ht="48" x14ac:dyDescent="0.2">
      <c r="A2" s="41" t="s">
        <v>29</v>
      </c>
      <c r="B2" s="42" t="s">
        <v>2</v>
      </c>
      <c r="C2" s="42" t="s">
        <v>6</v>
      </c>
      <c r="D2" s="42" t="s">
        <v>8</v>
      </c>
      <c r="E2" s="42" t="s">
        <v>13</v>
      </c>
      <c r="F2" s="42" t="s">
        <v>23</v>
      </c>
      <c r="G2" s="43" t="s">
        <v>14</v>
      </c>
      <c r="I2" s="44" t="s">
        <v>30</v>
      </c>
      <c r="J2" s="45" t="s">
        <v>15</v>
      </c>
      <c r="K2" s="46" t="s">
        <v>0</v>
      </c>
      <c r="L2" s="46" t="s">
        <v>12</v>
      </c>
      <c r="M2" s="46" t="s">
        <v>16</v>
      </c>
      <c r="N2" s="46" t="s">
        <v>18</v>
      </c>
      <c r="O2" s="46" t="s">
        <v>20</v>
      </c>
      <c r="P2" s="46" t="s">
        <v>5</v>
      </c>
      <c r="Q2" s="46" t="s">
        <v>7</v>
      </c>
      <c r="R2" s="46" t="s">
        <v>19</v>
      </c>
      <c r="S2" s="46" t="s">
        <v>26</v>
      </c>
      <c r="T2" s="46" t="s">
        <v>9</v>
      </c>
      <c r="U2" s="46" t="s">
        <v>42</v>
      </c>
    </row>
    <row r="3" spans="1:21" ht="25.5" customHeight="1" x14ac:dyDescent="0.2">
      <c r="A3" s="47" t="s">
        <v>10</v>
      </c>
      <c r="B3" s="40">
        <v>6</v>
      </c>
      <c r="C3" s="40">
        <v>8</v>
      </c>
      <c r="D3" s="40">
        <v>6</v>
      </c>
      <c r="E3" s="40">
        <v>10</v>
      </c>
      <c r="F3" s="40">
        <v>2</v>
      </c>
      <c r="G3" s="48">
        <v>3</v>
      </c>
      <c r="I3" s="98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</row>
    <row r="4" spans="1:21" x14ac:dyDescent="0.2">
      <c r="A4" s="47" t="s">
        <v>3</v>
      </c>
      <c r="B4" s="40">
        <v>8</v>
      </c>
      <c r="C4" s="40">
        <v>16</v>
      </c>
      <c r="D4" s="40">
        <v>12</v>
      </c>
      <c r="E4" s="40">
        <v>16</v>
      </c>
      <c r="F4" s="40">
        <v>4</v>
      </c>
      <c r="G4" s="48">
        <v>6</v>
      </c>
      <c r="I4" s="49" t="s">
        <v>47</v>
      </c>
      <c r="J4" s="50" t="s">
        <v>2</v>
      </c>
      <c r="K4" s="51" t="s">
        <v>4</v>
      </c>
      <c r="L4" s="51">
        <v>1</v>
      </c>
      <c r="M4" s="52">
        <v>0</v>
      </c>
      <c r="N4" s="51">
        <v>8</v>
      </c>
      <c r="O4" s="51">
        <f t="shared" ref="O4:O5" si="0">N4*$B$12</f>
        <v>1.2</v>
      </c>
      <c r="P4" s="51">
        <f t="shared" ref="P4:P5" si="1">N4*$B$10</f>
        <v>1.2</v>
      </c>
      <c r="Q4" s="51">
        <f t="shared" ref="Q4:Q5" si="2">N4*$B$11</f>
        <v>2</v>
      </c>
      <c r="R4" s="51">
        <f t="shared" ref="R4:R5" si="3">N4*$B$13</f>
        <v>0.8</v>
      </c>
      <c r="S4" s="51">
        <f t="shared" ref="S4:S5" si="4">N4*$B$14</f>
        <v>1.6</v>
      </c>
      <c r="T4" s="51">
        <f t="shared" ref="T4:T5" si="5">N4*$B$15</f>
        <v>0.8</v>
      </c>
      <c r="U4" s="51">
        <f>N4*$B$16</f>
        <v>0.4</v>
      </c>
    </row>
    <row r="5" spans="1:21" x14ac:dyDescent="0.2">
      <c r="A5" s="47" t="s">
        <v>4</v>
      </c>
      <c r="B5" s="40">
        <v>16</v>
      </c>
      <c r="C5" s="40">
        <v>24</v>
      </c>
      <c r="D5" s="40">
        <v>16</v>
      </c>
      <c r="E5" s="40">
        <v>24</v>
      </c>
      <c r="F5" s="40">
        <v>8</v>
      </c>
      <c r="G5" s="48">
        <v>12</v>
      </c>
      <c r="I5" s="49" t="s">
        <v>176</v>
      </c>
      <c r="J5" s="50" t="s">
        <v>2</v>
      </c>
      <c r="K5" s="51" t="s">
        <v>4</v>
      </c>
      <c r="L5" s="51">
        <v>1</v>
      </c>
      <c r="M5" s="52">
        <v>0</v>
      </c>
      <c r="N5" s="51">
        <v>16</v>
      </c>
      <c r="O5" s="51">
        <f t="shared" si="0"/>
        <v>2.4</v>
      </c>
      <c r="P5" s="51">
        <f t="shared" si="1"/>
        <v>2.4</v>
      </c>
      <c r="Q5" s="51">
        <f t="shared" si="2"/>
        <v>4</v>
      </c>
      <c r="R5" s="51">
        <f t="shared" si="3"/>
        <v>1.6</v>
      </c>
      <c r="S5" s="51">
        <f t="shared" si="4"/>
        <v>3.2</v>
      </c>
      <c r="T5" s="51">
        <f t="shared" si="5"/>
        <v>1.6</v>
      </c>
      <c r="U5" s="51">
        <f t="shared" ref="U5" si="6">N5*$B$16</f>
        <v>0.8</v>
      </c>
    </row>
    <row r="6" spans="1:21" x14ac:dyDescent="0.2">
      <c r="A6" s="47" t="s">
        <v>22</v>
      </c>
      <c r="B6" s="40">
        <v>20</v>
      </c>
      <c r="C6" s="40">
        <v>40</v>
      </c>
      <c r="D6" s="40">
        <v>24</v>
      </c>
      <c r="E6" s="40">
        <v>32</v>
      </c>
      <c r="F6" s="40">
        <v>12</v>
      </c>
      <c r="G6" s="48">
        <v>16</v>
      </c>
      <c r="I6" s="49" t="s">
        <v>51</v>
      </c>
      <c r="J6" s="50" t="s">
        <v>6</v>
      </c>
      <c r="K6" s="51" t="s">
        <v>4</v>
      </c>
      <c r="L6" s="51">
        <v>1</v>
      </c>
      <c r="M6" s="52">
        <v>0</v>
      </c>
      <c r="N6" s="51">
        <v>8</v>
      </c>
      <c r="O6" s="51">
        <f>N6*$B$12</f>
        <v>1.2</v>
      </c>
      <c r="P6" s="51">
        <f>N6*$B$10</f>
        <v>1.2</v>
      </c>
      <c r="Q6" s="51">
        <f>N6*$B$11</f>
        <v>2</v>
      </c>
      <c r="R6" s="51">
        <f>N6*$B$13</f>
        <v>0.8</v>
      </c>
      <c r="S6" s="51">
        <f>N6*$B$14</f>
        <v>1.6</v>
      </c>
      <c r="T6" s="51">
        <f>N6*$B$15</f>
        <v>0.8</v>
      </c>
      <c r="U6" s="51">
        <f>N6*$B$16</f>
        <v>0.4</v>
      </c>
    </row>
    <row r="7" spans="1:21" ht="12.75" thickBot="1" x14ac:dyDescent="0.25">
      <c r="A7" s="53" t="s">
        <v>11</v>
      </c>
      <c r="B7" s="54">
        <v>24</v>
      </c>
      <c r="C7" s="54">
        <v>56</v>
      </c>
      <c r="D7" s="54">
        <v>30</v>
      </c>
      <c r="E7" s="54">
        <v>40</v>
      </c>
      <c r="F7" s="54">
        <v>16</v>
      </c>
      <c r="G7" s="55">
        <v>20</v>
      </c>
      <c r="I7" s="49" t="s">
        <v>178</v>
      </c>
      <c r="J7" s="50" t="s">
        <v>6</v>
      </c>
      <c r="K7" s="51" t="s">
        <v>4</v>
      </c>
      <c r="L7" s="51">
        <v>1.5</v>
      </c>
      <c r="M7" s="52">
        <v>0</v>
      </c>
      <c r="N7" s="51">
        <v>16</v>
      </c>
      <c r="O7" s="51">
        <f>N7*$B$12</f>
        <v>2.4</v>
      </c>
      <c r="P7" s="51">
        <f>N7*$B$10</f>
        <v>2.4</v>
      </c>
      <c r="Q7" s="51">
        <f>N7*$B$11</f>
        <v>4</v>
      </c>
      <c r="R7" s="51">
        <f>N7*$B$13</f>
        <v>1.6</v>
      </c>
      <c r="S7" s="51">
        <f>N7*$B$14</f>
        <v>3.2</v>
      </c>
      <c r="T7" s="51">
        <f>N7*$B$15</f>
        <v>1.6</v>
      </c>
      <c r="U7" s="51">
        <f>N7*$B$16</f>
        <v>0.8</v>
      </c>
    </row>
    <row r="8" spans="1:21" ht="12.75" thickBot="1" x14ac:dyDescent="0.25">
      <c r="I8" s="49" t="s">
        <v>169</v>
      </c>
      <c r="J8" s="50" t="s">
        <v>6</v>
      </c>
      <c r="K8" s="51" t="s">
        <v>4</v>
      </c>
      <c r="L8" s="51">
        <v>1</v>
      </c>
      <c r="M8" s="52">
        <v>0.3</v>
      </c>
      <c r="N8" s="51">
        <v>12</v>
      </c>
      <c r="O8" s="68">
        <f t="shared" ref="O8:O11" si="7">N8*$B$12</f>
        <v>1.7999999999999998</v>
      </c>
      <c r="P8" s="68">
        <f t="shared" ref="P8:P11" si="8">N8*$B$10</f>
        <v>1.7999999999999998</v>
      </c>
      <c r="Q8" s="68">
        <f t="shared" ref="Q8:Q11" si="9">N8*$B$11</f>
        <v>3</v>
      </c>
      <c r="R8" s="68">
        <f t="shared" ref="R8:R11" si="10">N8*$B$13</f>
        <v>1.2000000000000002</v>
      </c>
      <c r="S8" s="68">
        <f t="shared" ref="S8:S11" si="11">N8*$B$14</f>
        <v>2.4000000000000004</v>
      </c>
      <c r="T8" s="68">
        <f t="shared" ref="T8:T11" si="12">N8*$B$15</f>
        <v>1.2000000000000002</v>
      </c>
      <c r="U8" s="68">
        <f t="shared" ref="U8:U11" si="13">N8*$B$16</f>
        <v>0.60000000000000009</v>
      </c>
    </row>
    <row r="9" spans="1:21" ht="11.25" customHeight="1" x14ac:dyDescent="0.2">
      <c r="A9" s="56" t="s">
        <v>1</v>
      </c>
      <c r="B9" s="57" t="s">
        <v>31</v>
      </c>
      <c r="C9" s="93" t="s">
        <v>53</v>
      </c>
      <c r="D9" s="93"/>
      <c r="E9" s="93"/>
      <c r="F9" s="93"/>
      <c r="G9" s="94"/>
      <c r="I9" s="49" t="s">
        <v>170</v>
      </c>
      <c r="J9" s="50" t="s">
        <v>6</v>
      </c>
      <c r="K9" s="51" t="s">
        <v>4</v>
      </c>
      <c r="L9" s="51">
        <v>1</v>
      </c>
      <c r="M9" s="52">
        <v>0.3</v>
      </c>
      <c r="N9" s="51">
        <f t="shared" ref="N9" si="14">(EffortCalculation(J9,K9,L9,M9))</f>
        <v>16.8</v>
      </c>
      <c r="O9" s="51">
        <f t="shared" si="7"/>
        <v>2.52</v>
      </c>
      <c r="P9" s="51">
        <f t="shared" si="8"/>
        <v>2.52</v>
      </c>
      <c r="Q9" s="51">
        <f t="shared" si="9"/>
        <v>4.2</v>
      </c>
      <c r="R9" s="51">
        <f t="shared" si="10"/>
        <v>1.6800000000000002</v>
      </c>
      <c r="S9" s="51">
        <f t="shared" si="11"/>
        <v>3.3600000000000003</v>
      </c>
      <c r="T9" s="51">
        <f t="shared" si="12"/>
        <v>1.6800000000000002</v>
      </c>
      <c r="U9" s="51">
        <f t="shared" si="13"/>
        <v>0.84000000000000008</v>
      </c>
    </row>
    <row r="10" spans="1:21" x14ac:dyDescent="0.2">
      <c r="A10" s="47" t="s">
        <v>5</v>
      </c>
      <c r="B10" s="58">
        <v>0.15</v>
      </c>
      <c r="C10" s="102" t="s">
        <v>32</v>
      </c>
      <c r="D10" s="84"/>
      <c r="E10" s="84"/>
      <c r="F10" s="85"/>
      <c r="G10" s="48"/>
      <c r="I10" s="49" t="s">
        <v>171</v>
      </c>
      <c r="J10" s="50" t="s">
        <v>6</v>
      </c>
      <c r="K10" s="51" t="s">
        <v>3</v>
      </c>
      <c r="L10" s="51">
        <v>1</v>
      </c>
      <c r="M10" s="52">
        <v>0.5</v>
      </c>
      <c r="N10" s="51">
        <v>8</v>
      </c>
      <c r="O10" s="51">
        <f t="shared" si="7"/>
        <v>1.2</v>
      </c>
      <c r="P10" s="51">
        <f t="shared" si="8"/>
        <v>1.2</v>
      </c>
      <c r="Q10" s="51">
        <f t="shared" si="9"/>
        <v>2</v>
      </c>
      <c r="R10" s="51">
        <f t="shared" si="10"/>
        <v>0.8</v>
      </c>
      <c r="S10" s="51">
        <f t="shared" si="11"/>
        <v>1.6</v>
      </c>
      <c r="T10" s="51">
        <f t="shared" si="12"/>
        <v>0.8</v>
      </c>
      <c r="U10" s="51">
        <f t="shared" si="13"/>
        <v>0.4</v>
      </c>
    </row>
    <row r="11" spans="1:21" x14ac:dyDescent="0.2">
      <c r="A11" s="47" t="s">
        <v>7</v>
      </c>
      <c r="B11" s="58">
        <v>0.25</v>
      </c>
      <c r="C11" s="102" t="s">
        <v>33</v>
      </c>
      <c r="D11" s="84"/>
      <c r="E11" s="84"/>
      <c r="F11" s="85"/>
      <c r="G11" s="48"/>
      <c r="I11" s="29" t="s">
        <v>177</v>
      </c>
      <c r="J11" s="50" t="s">
        <v>6</v>
      </c>
      <c r="K11" s="51" t="s">
        <v>4</v>
      </c>
      <c r="L11" s="51">
        <v>1</v>
      </c>
      <c r="M11" s="52">
        <v>0.3</v>
      </c>
      <c r="N11" s="51">
        <v>24</v>
      </c>
      <c r="O11" s="51">
        <f t="shared" si="7"/>
        <v>3.5999999999999996</v>
      </c>
      <c r="P11" s="51">
        <f t="shared" si="8"/>
        <v>3.5999999999999996</v>
      </c>
      <c r="Q11" s="51">
        <f t="shared" si="9"/>
        <v>6</v>
      </c>
      <c r="R11" s="51">
        <f t="shared" si="10"/>
        <v>2.4000000000000004</v>
      </c>
      <c r="S11" s="51">
        <f t="shared" si="11"/>
        <v>4.8000000000000007</v>
      </c>
      <c r="T11" s="51">
        <f t="shared" si="12"/>
        <v>2.4000000000000004</v>
      </c>
      <c r="U11" s="51">
        <f t="shared" si="13"/>
        <v>1.2000000000000002</v>
      </c>
    </row>
    <row r="12" spans="1:21" x14ac:dyDescent="0.2">
      <c r="A12" s="47" t="s">
        <v>132</v>
      </c>
      <c r="B12" s="58">
        <v>0.15</v>
      </c>
      <c r="C12" s="102" t="s">
        <v>36</v>
      </c>
      <c r="D12" s="84"/>
      <c r="E12" s="84"/>
      <c r="F12" s="85"/>
      <c r="G12" s="48"/>
      <c r="I12" s="49" t="s">
        <v>175</v>
      </c>
      <c r="J12" s="50" t="s">
        <v>6</v>
      </c>
      <c r="K12" s="51" t="s">
        <v>4</v>
      </c>
      <c r="L12" s="51">
        <v>1.25</v>
      </c>
      <c r="M12" s="52">
        <v>0.3</v>
      </c>
      <c r="N12" s="51">
        <v>16</v>
      </c>
      <c r="O12" s="51">
        <f t="shared" ref="O12:O18" si="15">N12*$B$12</f>
        <v>2.4</v>
      </c>
      <c r="P12" s="51">
        <f t="shared" ref="P12:P18" si="16">N12*$B$10</f>
        <v>2.4</v>
      </c>
      <c r="Q12" s="51">
        <f t="shared" ref="Q12:Q18" si="17">N12*$B$11</f>
        <v>4</v>
      </c>
      <c r="R12" s="51">
        <f t="shared" ref="R12:R18" si="18">N12*$B$13</f>
        <v>1.6</v>
      </c>
      <c r="S12" s="51">
        <f t="shared" ref="S12:S18" si="19">N12*$B$14</f>
        <v>3.2</v>
      </c>
      <c r="T12" s="51">
        <f t="shared" ref="T12:T18" si="20">N12*$B$15</f>
        <v>1.6</v>
      </c>
      <c r="U12" s="51">
        <f t="shared" ref="U12:U18" si="21">N12*$B$16</f>
        <v>0.8</v>
      </c>
    </row>
    <row r="13" spans="1:21" x14ac:dyDescent="0.2">
      <c r="A13" s="47" t="s">
        <v>27</v>
      </c>
      <c r="B13" s="58">
        <v>0.1</v>
      </c>
      <c r="C13" s="105" t="s">
        <v>34</v>
      </c>
      <c r="D13" s="84"/>
      <c r="E13" s="84"/>
      <c r="F13" s="85"/>
      <c r="G13" s="48"/>
      <c r="I13" s="49" t="s">
        <v>172</v>
      </c>
      <c r="J13" s="50" t="s">
        <v>6</v>
      </c>
      <c r="K13" s="51" t="s">
        <v>4</v>
      </c>
      <c r="L13" s="51">
        <v>1</v>
      </c>
      <c r="M13" s="52">
        <v>0.8</v>
      </c>
      <c r="N13" s="51">
        <v>16</v>
      </c>
      <c r="O13" s="51">
        <f t="shared" si="15"/>
        <v>2.4</v>
      </c>
      <c r="P13" s="51">
        <f t="shared" si="16"/>
        <v>2.4</v>
      </c>
      <c r="Q13" s="51">
        <f t="shared" si="17"/>
        <v>4</v>
      </c>
      <c r="R13" s="51">
        <f t="shared" si="18"/>
        <v>1.6</v>
      </c>
      <c r="S13" s="51">
        <f t="shared" si="19"/>
        <v>3.2</v>
      </c>
      <c r="T13" s="51">
        <f t="shared" si="20"/>
        <v>1.6</v>
      </c>
      <c r="U13" s="51">
        <f t="shared" si="21"/>
        <v>0.8</v>
      </c>
    </row>
    <row r="14" spans="1:21" ht="12.75" thickBot="1" x14ac:dyDescent="0.25">
      <c r="A14" s="47" t="s">
        <v>26</v>
      </c>
      <c r="B14" s="58">
        <v>0.2</v>
      </c>
      <c r="C14" s="103" t="s">
        <v>37</v>
      </c>
      <c r="D14" s="104"/>
      <c r="E14" s="104"/>
      <c r="F14" s="86"/>
      <c r="G14" s="59"/>
      <c r="I14" s="49" t="s">
        <v>173</v>
      </c>
      <c r="J14" s="50" t="s">
        <v>6</v>
      </c>
      <c r="K14" s="51" t="s">
        <v>4</v>
      </c>
      <c r="L14" s="51">
        <v>1</v>
      </c>
      <c r="M14" s="52">
        <v>0.5</v>
      </c>
      <c r="N14" s="51">
        <v>8</v>
      </c>
      <c r="O14" s="51">
        <f t="shared" si="15"/>
        <v>1.2</v>
      </c>
      <c r="P14" s="51">
        <f t="shared" si="16"/>
        <v>1.2</v>
      </c>
      <c r="Q14" s="51">
        <f t="shared" si="17"/>
        <v>2</v>
      </c>
      <c r="R14" s="51">
        <f t="shared" si="18"/>
        <v>0.8</v>
      </c>
      <c r="S14" s="51">
        <f t="shared" si="19"/>
        <v>1.6</v>
      </c>
      <c r="T14" s="51">
        <f t="shared" si="20"/>
        <v>0.8</v>
      </c>
      <c r="U14" s="51">
        <f t="shared" si="21"/>
        <v>0.4</v>
      </c>
    </row>
    <row r="15" spans="1:21" x14ac:dyDescent="0.2">
      <c r="A15" s="60" t="s">
        <v>9</v>
      </c>
      <c r="B15" s="58">
        <v>0.1</v>
      </c>
      <c r="I15" s="49" t="s">
        <v>174</v>
      </c>
      <c r="J15" s="50" t="s">
        <v>6</v>
      </c>
      <c r="K15" s="51" t="s">
        <v>3</v>
      </c>
      <c r="L15" s="51">
        <v>1</v>
      </c>
      <c r="M15" s="52">
        <v>0.8</v>
      </c>
      <c r="N15" s="51">
        <v>8</v>
      </c>
      <c r="O15" s="51">
        <f t="shared" si="15"/>
        <v>1.2</v>
      </c>
      <c r="P15" s="51">
        <f t="shared" si="16"/>
        <v>1.2</v>
      </c>
      <c r="Q15" s="51">
        <f t="shared" si="17"/>
        <v>2</v>
      </c>
      <c r="R15" s="51">
        <f t="shared" si="18"/>
        <v>0.8</v>
      </c>
      <c r="S15" s="51">
        <f t="shared" si="19"/>
        <v>1.6</v>
      </c>
      <c r="T15" s="51">
        <f t="shared" si="20"/>
        <v>0.8</v>
      </c>
      <c r="U15" s="51">
        <f t="shared" si="21"/>
        <v>0.4</v>
      </c>
    </row>
    <row r="16" spans="1:21" ht="12.75" thickBot="1" x14ac:dyDescent="0.25">
      <c r="A16" s="60" t="s">
        <v>24</v>
      </c>
      <c r="B16" s="58">
        <v>0.05</v>
      </c>
      <c r="I16" s="2" t="s">
        <v>180</v>
      </c>
      <c r="J16" s="50" t="s">
        <v>6</v>
      </c>
      <c r="K16" s="51" t="s">
        <v>4</v>
      </c>
      <c r="L16" s="51">
        <v>1</v>
      </c>
      <c r="M16" s="52">
        <v>0</v>
      </c>
      <c r="N16" s="51">
        <v>16</v>
      </c>
      <c r="O16" s="51">
        <f t="shared" si="15"/>
        <v>2.4</v>
      </c>
      <c r="P16" s="51">
        <f t="shared" si="16"/>
        <v>2.4</v>
      </c>
      <c r="Q16" s="51">
        <f t="shared" si="17"/>
        <v>4</v>
      </c>
      <c r="R16" s="51">
        <f t="shared" si="18"/>
        <v>1.6</v>
      </c>
      <c r="S16" s="51">
        <f t="shared" si="19"/>
        <v>3.2</v>
      </c>
      <c r="T16" s="51">
        <f t="shared" si="20"/>
        <v>1.6</v>
      </c>
      <c r="U16" s="51">
        <f t="shared" si="21"/>
        <v>0.8</v>
      </c>
    </row>
    <row r="17" spans="1:21" x14ac:dyDescent="0.2">
      <c r="A17" s="60" t="s">
        <v>25</v>
      </c>
      <c r="B17" s="61">
        <f>G17</f>
        <v>0</v>
      </c>
      <c r="C17" s="106" t="s">
        <v>52</v>
      </c>
      <c r="D17" s="107"/>
      <c r="E17" s="108"/>
      <c r="I17" s="29" t="s">
        <v>181</v>
      </c>
      <c r="J17" s="50" t="s">
        <v>6</v>
      </c>
      <c r="K17" s="51" t="s">
        <v>22</v>
      </c>
      <c r="L17" s="51">
        <v>1.75</v>
      </c>
      <c r="M17" s="52">
        <v>0</v>
      </c>
      <c r="N17" s="51">
        <v>36</v>
      </c>
      <c r="O17" s="51">
        <f t="shared" si="15"/>
        <v>5.3999999999999995</v>
      </c>
      <c r="P17" s="51">
        <f t="shared" si="16"/>
        <v>5.3999999999999995</v>
      </c>
      <c r="Q17" s="51">
        <f t="shared" si="17"/>
        <v>9</v>
      </c>
      <c r="R17" s="51">
        <f t="shared" si="18"/>
        <v>3.6</v>
      </c>
      <c r="S17" s="51">
        <f t="shared" si="19"/>
        <v>7.2</v>
      </c>
      <c r="T17" s="51">
        <f t="shared" si="20"/>
        <v>3.6</v>
      </c>
      <c r="U17" s="51">
        <f t="shared" si="21"/>
        <v>1.8</v>
      </c>
    </row>
    <row r="18" spans="1:21" x14ac:dyDescent="0.2">
      <c r="A18" s="60" t="s">
        <v>35</v>
      </c>
      <c r="B18" s="62">
        <v>0.2</v>
      </c>
      <c r="C18" s="100" t="s">
        <v>39</v>
      </c>
      <c r="D18" s="101"/>
      <c r="E18" s="63"/>
      <c r="I18" s="49" t="s">
        <v>179</v>
      </c>
      <c r="J18" s="50" t="s">
        <v>6</v>
      </c>
      <c r="K18" s="51" t="s">
        <v>4</v>
      </c>
      <c r="L18" s="51">
        <v>1.5</v>
      </c>
      <c r="M18" s="52">
        <v>0</v>
      </c>
      <c r="N18" s="51">
        <v>16</v>
      </c>
      <c r="O18" s="51">
        <f t="shared" si="15"/>
        <v>2.4</v>
      </c>
      <c r="P18" s="51">
        <f t="shared" si="16"/>
        <v>2.4</v>
      </c>
      <c r="Q18" s="51">
        <f t="shared" si="17"/>
        <v>4</v>
      </c>
      <c r="R18" s="51">
        <f t="shared" si="18"/>
        <v>1.6</v>
      </c>
      <c r="S18" s="51">
        <f t="shared" si="19"/>
        <v>3.2</v>
      </c>
      <c r="T18" s="51">
        <f t="shared" si="20"/>
        <v>1.6</v>
      </c>
      <c r="U18" s="51">
        <f t="shared" si="21"/>
        <v>0.8</v>
      </c>
    </row>
    <row r="19" spans="1:21" ht="12.75" thickBot="1" x14ac:dyDescent="0.25">
      <c r="A19" s="53" t="s">
        <v>28</v>
      </c>
      <c r="B19" s="64"/>
      <c r="C19" s="100" t="s">
        <v>40</v>
      </c>
      <c r="D19" s="101"/>
      <c r="E19" s="63">
        <f>SUM(N42:U42)</f>
        <v>13.488</v>
      </c>
      <c r="I19" s="29"/>
      <c r="J19" s="50"/>
      <c r="K19" s="51"/>
      <c r="L19" s="51"/>
      <c r="M19" s="52"/>
      <c r="N19" s="51"/>
      <c r="O19" s="51"/>
      <c r="P19" s="51"/>
      <c r="Q19" s="51"/>
      <c r="R19" s="51"/>
      <c r="S19" s="51"/>
      <c r="T19" s="51"/>
      <c r="U19" s="51"/>
    </row>
    <row r="20" spans="1:21" x14ac:dyDescent="0.2">
      <c r="C20" s="100" t="s">
        <v>41</v>
      </c>
      <c r="D20" s="101"/>
      <c r="E20" s="63">
        <f>G13/5</f>
        <v>0</v>
      </c>
      <c r="I20" s="49"/>
      <c r="J20" s="50"/>
      <c r="K20" s="51"/>
      <c r="L20" s="51"/>
      <c r="M20" s="52"/>
      <c r="N20" s="51"/>
      <c r="O20" s="51"/>
      <c r="P20" s="51"/>
      <c r="Q20" s="51"/>
      <c r="R20" s="51"/>
      <c r="S20" s="51"/>
      <c r="T20" s="51"/>
      <c r="U20" s="51"/>
    </row>
    <row r="21" spans="1:21" x14ac:dyDescent="0.2">
      <c r="C21" s="100" t="s">
        <v>28</v>
      </c>
      <c r="D21" s="101"/>
      <c r="E21" s="63"/>
      <c r="I21" s="49"/>
      <c r="J21" s="50"/>
      <c r="K21" s="51"/>
      <c r="L21" s="51"/>
      <c r="M21" s="52"/>
      <c r="N21" s="51"/>
      <c r="O21" s="51"/>
      <c r="P21" s="51"/>
      <c r="Q21" s="51"/>
      <c r="R21" s="51"/>
      <c r="S21" s="51"/>
      <c r="T21" s="51"/>
      <c r="U21" s="51"/>
    </row>
    <row r="22" spans="1:21" x14ac:dyDescent="0.2">
      <c r="C22" s="100" t="s">
        <v>133</v>
      </c>
      <c r="D22" s="101"/>
      <c r="E22" s="63">
        <f>(E33+E47)/5</f>
        <v>12.8</v>
      </c>
      <c r="I22" s="49"/>
      <c r="J22" s="50"/>
      <c r="K22" s="51"/>
      <c r="L22" s="51"/>
      <c r="M22" s="52"/>
      <c r="N22" s="51"/>
      <c r="O22" s="51"/>
      <c r="P22" s="51"/>
      <c r="Q22" s="51"/>
      <c r="R22" s="51"/>
      <c r="S22" s="51"/>
      <c r="T22" s="51"/>
      <c r="U22" s="51"/>
    </row>
    <row r="23" spans="1:21" ht="12.75" thickBot="1" x14ac:dyDescent="0.25">
      <c r="C23" s="81" t="s">
        <v>43</v>
      </c>
      <c r="D23" s="82"/>
      <c r="E23" s="65">
        <f>SUM(E18:E22)</f>
        <v>26.288</v>
      </c>
      <c r="I23" s="49"/>
      <c r="J23" s="50"/>
      <c r="K23" s="51"/>
      <c r="L23" s="51"/>
      <c r="M23" s="52"/>
      <c r="N23" s="51"/>
      <c r="O23" s="51"/>
      <c r="P23" s="51"/>
      <c r="Q23" s="51"/>
      <c r="R23" s="51"/>
      <c r="S23" s="51"/>
      <c r="T23" s="51"/>
      <c r="U23" s="51"/>
    </row>
    <row r="24" spans="1:21" x14ac:dyDescent="0.2">
      <c r="I24" s="70"/>
      <c r="J24" s="67"/>
      <c r="K24" s="68"/>
      <c r="L24" s="68"/>
      <c r="M24" s="52"/>
      <c r="N24" s="51"/>
      <c r="O24" s="51"/>
      <c r="P24" s="51"/>
      <c r="Q24" s="51"/>
      <c r="R24" s="51"/>
      <c r="S24" s="51"/>
      <c r="T24" s="51"/>
      <c r="U24" s="51"/>
    </row>
    <row r="25" spans="1:21" x14ac:dyDescent="0.2">
      <c r="A25" s="88" t="s">
        <v>155</v>
      </c>
      <c r="B25" s="89"/>
      <c r="C25" s="89"/>
      <c r="D25" s="89"/>
      <c r="E25" s="90"/>
      <c r="I25" s="70"/>
      <c r="J25" s="67"/>
      <c r="K25" s="68"/>
      <c r="L25" s="68"/>
      <c r="M25" s="52"/>
      <c r="N25" s="51"/>
      <c r="O25" s="51"/>
      <c r="P25" s="51"/>
      <c r="Q25" s="51"/>
      <c r="R25" s="51"/>
      <c r="S25" s="51"/>
      <c r="T25" s="51"/>
      <c r="U25" s="51"/>
    </row>
    <row r="26" spans="1:21" x14ac:dyDescent="0.2">
      <c r="A26" s="85" t="s">
        <v>135</v>
      </c>
      <c r="B26" s="91"/>
      <c r="C26" s="91"/>
      <c r="D26" s="91"/>
      <c r="E26" s="48">
        <v>50</v>
      </c>
      <c r="I26" s="29"/>
      <c r="J26" s="67"/>
      <c r="K26" s="68"/>
      <c r="L26" s="68"/>
      <c r="M26" s="52"/>
      <c r="N26" s="51"/>
      <c r="O26" s="51"/>
      <c r="P26" s="51"/>
      <c r="Q26" s="51"/>
      <c r="R26" s="51"/>
      <c r="S26" s="51"/>
      <c r="T26" s="51"/>
      <c r="U26" s="51"/>
    </row>
    <row r="27" spans="1:21" x14ac:dyDescent="0.2">
      <c r="A27" s="85" t="s">
        <v>142</v>
      </c>
      <c r="B27" s="91"/>
      <c r="C27" s="91"/>
      <c r="D27" s="91"/>
      <c r="E27" s="48">
        <v>1</v>
      </c>
      <c r="I27" s="29"/>
      <c r="J27" s="50"/>
      <c r="K27" s="51"/>
      <c r="L27" s="51"/>
      <c r="M27" s="52"/>
      <c r="N27" s="51"/>
      <c r="O27" s="51"/>
      <c r="P27" s="51"/>
      <c r="Q27" s="51"/>
      <c r="R27" s="51"/>
      <c r="S27" s="51"/>
      <c r="T27" s="51"/>
      <c r="U27" s="51"/>
    </row>
    <row r="28" spans="1:21" x14ac:dyDescent="0.2">
      <c r="A28" s="85" t="s">
        <v>136</v>
      </c>
      <c r="B28" s="91"/>
      <c r="C28" s="91"/>
      <c r="D28" s="91"/>
      <c r="E28" s="48">
        <f>E26*E27</f>
        <v>50</v>
      </c>
      <c r="I28" s="70"/>
      <c r="J28" s="67"/>
      <c r="K28" s="68"/>
      <c r="L28" s="68"/>
      <c r="M28" s="52"/>
      <c r="N28" s="51"/>
      <c r="O28" s="51"/>
      <c r="P28" s="51"/>
      <c r="Q28" s="51"/>
      <c r="R28" s="51"/>
      <c r="S28" s="51"/>
      <c r="T28" s="51"/>
      <c r="U28" s="51"/>
    </row>
    <row r="29" spans="1:21" ht="12" customHeight="1" x14ac:dyDescent="0.2">
      <c r="A29" s="85" t="s">
        <v>137</v>
      </c>
      <c r="B29" s="91"/>
      <c r="C29" s="91"/>
      <c r="D29" s="91"/>
      <c r="E29" s="48">
        <v>4</v>
      </c>
      <c r="I29" s="29"/>
      <c r="J29" s="67"/>
      <c r="K29" s="68"/>
      <c r="L29" s="68"/>
      <c r="M29" s="52"/>
      <c r="N29" s="51"/>
      <c r="O29" s="51"/>
      <c r="P29" s="51"/>
      <c r="Q29" s="51"/>
      <c r="R29" s="51"/>
      <c r="S29" s="51"/>
      <c r="T29" s="51"/>
      <c r="U29" s="51"/>
    </row>
    <row r="30" spans="1:21" x14ac:dyDescent="0.2">
      <c r="A30" s="84" t="s">
        <v>138</v>
      </c>
      <c r="B30" s="84"/>
      <c r="C30" s="84"/>
      <c r="D30" s="85"/>
      <c r="E30" s="48">
        <f>ROUNDUP((E28/E29),0)</f>
        <v>13</v>
      </c>
      <c r="I30" s="29"/>
      <c r="J30" s="50"/>
      <c r="K30" s="51"/>
      <c r="L30" s="51"/>
      <c r="M30" s="52"/>
      <c r="N30" s="51"/>
      <c r="O30" s="51"/>
      <c r="P30" s="51"/>
      <c r="Q30" s="51"/>
      <c r="R30" s="51"/>
      <c r="S30" s="51"/>
      <c r="T30" s="51"/>
      <c r="U30" s="51"/>
    </row>
    <row r="31" spans="1:21" x14ac:dyDescent="0.2">
      <c r="A31" s="84" t="s">
        <v>139</v>
      </c>
      <c r="B31" s="84"/>
      <c r="C31" s="84"/>
      <c r="D31" s="85"/>
      <c r="E31" s="48">
        <v>8</v>
      </c>
      <c r="I31" s="29"/>
      <c r="J31" s="50"/>
      <c r="K31" s="51"/>
      <c r="L31" s="51"/>
      <c r="M31" s="52"/>
      <c r="N31" s="51"/>
      <c r="O31" s="51"/>
      <c r="P31" s="51"/>
      <c r="Q31" s="51"/>
      <c r="R31" s="51"/>
      <c r="S31" s="51"/>
      <c r="T31" s="51"/>
      <c r="U31" s="51"/>
    </row>
    <row r="32" spans="1:21" x14ac:dyDescent="0.2">
      <c r="A32" s="84" t="s">
        <v>140</v>
      </c>
      <c r="B32" s="84"/>
      <c r="C32" s="84"/>
      <c r="D32" s="85"/>
      <c r="E32" s="48">
        <f>ROUNDUP((E28/E31),0)</f>
        <v>7</v>
      </c>
      <c r="I32" s="49"/>
      <c r="J32" s="50"/>
      <c r="K32" s="51"/>
      <c r="L32" s="51"/>
      <c r="M32" s="52"/>
      <c r="N32" s="51"/>
      <c r="O32" s="51"/>
      <c r="P32" s="51"/>
      <c r="Q32" s="51"/>
      <c r="R32" s="51"/>
      <c r="S32" s="51"/>
      <c r="T32" s="51"/>
      <c r="U32" s="51"/>
    </row>
    <row r="33" spans="1:22" ht="12.75" thickBot="1" x14ac:dyDescent="0.25">
      <c r="A33" s="86" t="s">
        <v>141</v>
      </c>
      <c r="B33" s="87"/>
      <c r="C33" s="87"/>
      <c r="D33" s="87"/>
      <c r="E33" s="55">
        <f>ROUNDUP((SUM(E30,E32)),0)</f>
        <v>20</v>
      </c>
      <c r="I33" s="70"/>
      <c r="J33" s="67"/>
      <c r="K33" s="68"/>
      <c r="L33" s="68"/>
      <c r="M33" s="52"/>
      <c r="N33" s="51"/>
      <c r="O33" s="51"/>
      <c r="P33" s="51"/>
      <c r="Q33" s="51"/>
      <c r="R33" s="51"/>
      <c r="S33" s="51"/>
      <c r="T33" s="51"/>
      <c r="U33" s="51"/>
    </row>
    <row r="34" spans="1:22" ht="12" customHeight="1" x14ac:dyDescent="0.2">
      <c r="I34" s="70"/>
      <c r="J34" s="67"/>
      <c r="K34" s="68"/>
      <c r="L34" s="68"/>
      <c r="M34" s="52"/>
      <c r="N34" s="51"/>
      <c r="O34" s="51"/>
      <c r="P34" s="51"/>
      <c r="Q34" s="51"/>
      <c r="R34" s="51"/>
      <c r="S34" s="51"/>
      <c r="T34" s="51"/>
      <c r="U34" s="51"/>
    </row>
    <row r="35" spans="1:22" ht="12" customHeight="1" x14ac:dyDescent="0.2">
      <c r="I35" s="70"/>
      <c r="J35" s="67"/>
      <c r="K35" s="68"/>
      <c r="L35" s="68"/>
      <c r="M35" s="52"/>
      <c r="N35" s="51"/>
      <c r="O35" s="51"/>
      <c r="P35" s="51"/>
      <c r="Q35" s="51"/>
      <c r="R35" s="51"/>
      <c r="S35" s="51"/>
      <c r="T35" s="51"/>
      <c r="U35" s="51"/>
    </row>
    <row r="36" spans="1:22" ht="12" customHeight="1" x14ac:dyDescent="0.2">
      <c r="I36" s="70"/>
      <c r="J36" s="67"/>
      <c r="K36" s="68"/>
      <c r="L36" s="68"/>
      <c r="M36" s="52"/>
      <c r="N36" s="51"/>
      <c r="O36" s="51"/>
      <c r="P36" s="51"/>
      <c r="Q36" s="51"/>
      <c r="R36" s="51"/>
      <c r="S36" s="51"/>
      <c r="T36" s="51"/>
      <c r="U36" s="51"/>
      <c r="V36" s="80"/>
    </row>
    <row r="37" spans="1:22" ht="12" customHeight="1" x14ac:dyDescent="0.2">
      <c r="I37" s="70"/>
      <c r="J37" s="67"/>
      <c r="K37" s="68"/>
      <c r="L37" s="68"/>
      <c r="M37" s="52"/>
      <c r="N37" s="51"/>
      <c r="O37" s="51"/>
      <c r="P37" s="51"/>
      <c r="Q37" s="51"/>
      <c r="R37" s="51"/>
      <c r="S37" s="51"/>
      <c r="T37" s="51"/>
      <c r="U37" s="51"/>
      <c r="V37" s="80"/>
    </row>
    <row r="38" spans="1:22" ht="12.75" customHeight="1" x14ac:dyDescent="0.2">
      <c r="I38" s="29"/>
      <c r="J38" s="67"/>
      <c r="K38" s="68"/>
      <c r="L38" s="68"/>
      <c r="M38" s="52"/>
      <c r="N38" s="51"/>
      <c r="O38" s="51"/>
      <c r="P38" s="51"/>
      <c r="Q38" s="51"/>
      <c r="R38" s="51"/>
      <c r="S38" s="51"/>
      <c r="T38" s="51"/>
      <c r="U38" s="51"/>
    </row>
    <row r="39" spans="1:22" ht="12" customHeight="1" x14ac:dyDescent="0.2">
      <c r="A39" s="88" t="s">
        <v>156</v>
      </c>
      <c r="B39" s="89"/>
      <c r="C39" s="89"/>
      <c r="D39" s="89"/>
      <c r="E39" s="90"/>
      <c r="I39" s="83" t="s">
        <v>44</v>
      </c>
      <c r="J39" s="83"/>
      <c r="K39" s="83"/>
      <c r="L39" s="83"/>
      <c r="M39" s="83"/>
      <c r="N39" s="66">
        <f>SUM(N3:N38)*$B$18</f>
        <v>44.960000000000008</v>
      </c>
      <c r="O39" s="66">
        <f t="shared" ref="O39:U39" si="22">SUM(O3:O38)*$B$18</f>
        <v>6.7439999999999989</v>
      </c>
      <c r="P39" s="66">
        <f t="shared" si="22"/>
        <v>6.7439999999999989</v>
      </c>
      <c r="Q39" s="66">
        <f t="shared" si="22"/>
        <v>11.240000000000002</v>
      </c>
      <c r="R39" s="66">
        <f t="shared" si="22"/>
        <v>4.4960000000000013</v>
      </c>
      <c r="S39" s="66">
        <f t="shared" si="22"/>
        <v>8.9920000000000027</v>
      </c>
      <c r="T39" s="66">
        <f t="shared" si="22"/>
        <v>4.4960000000000013</v>
      </c>
      <c r="U39" s="66">
        <f t="shared" si="22"/>
        <v>2.2480000000000007</v>
      </c>
    </row>
    <row r="40" spans="1:22" x14ac:dyDescent="0.2">
      <c r="A40" s="85" t="s">
        <v>135</v>
      </c>
      <c r="B40" s="91"/>
      <c r="C40" s="91"/>
      <c r="D40" s="91"/>
      <c r="E40" s="48">
        <v>150</v>
      </c>
      <c r="I40" s="83" t="s">
        <v>45</v>
      </c>
      <c r="J40" s="83"/>
      <c r="K40" s="83"/>
      <c r="L40" s="83"/>
      <c r="M40" s="83"/>
      <c r="N40" s="66">
        <f t="shared" ref="N40:U40" si="23">SUM(N3:N39)</f>
        <v>269.76</v>
      </c>
      <c r="O40" s="66">
        <f t="shared" si="23"/>
        <v>40.463999999999992</v>
      </c>
      <c r="P40" s="66">
        <f t="shared" si="23"/>
        <v>40.463999999999992</v>
      </c>
      <c r="Q40" s="66">
        <f t="shared" si="23"/>
        <v>67.44</v>
      </c>
      <c r="R40" s="66">
        <f t="shared" si="23"/>
        <v>26.97600000000001</v>
      </c>
      <c r="S40" s="66">
        <f t="shared" si="23"/>
        <v>53.952000000000019</v>
      </c>
      <c r="T40" s="66">
        <f t="shared" si="23"/>
        <v>26.97600000000001</v>
      </c>
      <c r="U40" s="66">
        <f t="shared" si="23"/>
        <v>13.488000000000005</v>
      </c>
    </row>
    <row r="41" spans="1:22" ht="12" customHeight="1" x14ac:dyDescent="0.2">
      <c r="A41" s="85" t="s">
        <v>142</v>
      </c>
      <c r="B41" s="91"/>
      <c r="C41" s="91"/>
      <c r="D41" s="91"/>
      <c r="E41" s="48">
        <v>1</v>
      </c>
      <c r="I41" s="83" t="s">
        <v>46</v>
      </c>
      <c r="J41" s="83"/>
      <c r="K41" s="83"/>
      <c r="L41" s="83"/>
      <c r="M41" s="83"/>
      <c r="N41" s="66">
        <f>N40/8</f>
        <v>33.72</v>
      </c>
      <c r="O41" s="66">
        <f t="shared" ref="O41:U41" si="24">O40/8</f>
        <v>5.0579999999999989</v>
      </c>
      <c r="P41" s="66">
        <f t="shared" si="24"/>
        <v>5.0579999999999989</v>
      </c>
      <c r="Q41" s="66">
        <f t="shared" si="24"/>
        <v>8.43</v>
      </c>
      <c r="R41" s="66">
        <f t="shared" si="24"/>
        <v>3.3720000000000012</v>
      </c>
      <c r="S41" s="66">
        <f t="shared" si="24"/>
        <v>6.7440000000000024</v>
      </c>
      <c r="T41" s="66">
        <f t="shared" si="24"/>
        <v>3.3720000000000012</v>
      </c>
      <c r="U41" s="66">
        <f t="shared" si="24"/>
        <v>1.6860000000000006</v>
      </c>
    </row>
    <row r="42" spans="1:22" ht="12" customHeight="1" x14ac:dyDescent="0.2">
      <c r="A42" s="85" t="s">
        <v>136</v>
      </c>
      <c r="B42" s="91"/>
      <c r="C42" s="91"/>
      <c r="D42" s="91"/>
      <c r="E42" s="48">
        <f>E40*E41</f>
        <v>150</v>
      </c>
      <c r="I42" s="83" t="s">
        <v>38</v>
      </c>
      <c r="J42" s="83"/>
      <c r="K42" s="83"/>
      <c r="L42" s="83"/>
      <c r="M42" s="83"/>
      <c r="N42" s="66">
        <f>N41/5</f>
        <v>6.7439999999999998</v>
      </c>
      <c r="O42" s="66">
        <f t="shared" ref="O42:U42" si="25">O41/5</f>
        <v>1.0115999999999998</v>
      </c>
      <c r="P42" s="66">
        <f t="shared" si="25"/>
        <v>1.0115999999999998</v>
      </c>
      <c r="Q42" s="66">
        <f t="shared" si="25"/>
        <v>1.6859999999999999</v>
      </c>
      <c r="R42" s="66">
        <f t="shared" si="25"/>
        <v>0.67440000000000022</v>
      </c>
      <c r="S42" s="66">
        <f t="shared" si="25"/>
        <v>1.3488000000000004</v>
      </c>
      <c r="T42" s="66">
        <f t="shared" si="25"/>
        <v>0.67440000000000022</v>
      </c>
      <c r="U42" s="66">
        <f t="shared" si="25"/>
        <v>0.33720000000000011</v>
      </c>
    </row>
    <row r="43" spans="1:22" ht="12.75" customHeight="1" x14ac:dyDescent="0.2">
      <c r="A43" s="85" t="s">
        <v>137</v>
      </c>
      <c r="B43" s="91"/>
      <c r="C43" s="91"/>
      <c r="D43" s="91"/>
      <c r="E43" s="48">
        <v>6</v>
      </c>
    </row>
    <row r="44" spans="1:22" ht="12" customHeight="1" x14ac:dyDescent="0.2">
      <c r="A44" s="84" t="s">
        <v>138</v>
      </c>
      <c r="B44" s="84"/>
      <c r="C44" s="84"/>
      <c r="D44" s="85"/>
      <c r="E44" s="48">
        <f>ROUNDUP((E42/E43),0)</f>
        <v>25</v>
      </c>
    </row>
    <row r="45" spans="1:22" x14ac:dyDescent="0.2">
      <c r="A45" s="84" t="s">
        <v>139</v>
      </c>
      <c r="B45" s="84"/>
      <c r="C45" s="84"/>
      <c r="D45" s="85"/>
      <c r="E45" s="48">
        <v>8</v>
      </c>
    </row>
    <row r="46" spans="1:22" x14ac:dyDescent="0.2">
      <c r="A46" s="84" t="s">
        <v>140</v>
      </c>
      <c r="B46" s="84"/>
      <c r="C46" s="84"/>
      <c r="D46" s="85"/>
      <c r="E46" s="48">
        <f>ROUNDUP((E42/E45),0)</f>
        <v>19</v>
      </c>
    </row>
    <row r="47" spans="1:22" ht="12.75" thickBot="1" x14ac:dyDescent="0.25">
      <c r="A47" s="86" t="s">
        <v>141</v>
      </c>
      <c r="B47" s="87"/>
      <c r="C47" s="87"/>
      <c r="D47" s="87"/>
      <c r="E47" s="55">
        <f>ROUNDUP((SUM(E44,E46)),0)</f>
        <v>44</v>
      </c>
    </row>
  </sheetData>
  <mergeCells count="38">
    <mergeCell ref="A46:D46"/>
    <mergeCell ref="A47:D47"/>
    <mergeCell ref="A41:D41"/>
    <mergeCell ref="A42:D42"/>
    <mergeCell ref="A43:D43"/>
    <mergeCell ref="A44:D44"/>
    <mergeCell ref="A45:D45"/>
    <mergeCell ref="N1:U1"/>
    <mergeCell ref="C9:G9"/>
    <mergeCell ref="A1:G1"/>
    <mergeCell ref="I3:U3"/>
    <mergeCell ref="C22:D22"/>
    <mergeCell ref="C21:D21"/>
    <mergeCell ref="C11:F11"/>
    <mergeCell ref="C10:F10"/>
    <mergeCell ref="C12:F12"/>
    <mergeCell ref="C14:F14"/>
    <mergeCell ref="C13:F13"/>
    <mergeCell ref="C17:E17"/>
    <mergeCell ref="C18:D18"/>
    <mergeCell ref="C19:D19"/>
    <mergeCell ref="C20:D20"/>
    <mergeCell ref="C23:D23"/>
    <mergeCell ref="I42:M42"/>
    <mergeCell ref="I41:M41"/>
    <mergeCell ref="I39:M39"/>
    <mergeCell ref="I40:M40"/>
    <mergeCell ref="A30:D30"/>
    <mergeCell ref="A31:D31"/>
    <mergeCell ref="A32:D32"/>
    <mergeCell ref="A33:D33"/>
    <mergeCell ref="A25:E25"/>
    <mergeCell ref="A26:D26"/>
    <mergeCell ref="A27:D27"/>
    <mergeCell ref="A28:D28"/>
    <mergeCell ref="A29:D29"/>
    <mergeCell ref="A39:E39"/>
    <mergeCell ref="A40:D40"/>
  </mergeCells>
  <dataValidations count="4">
    <dataValidation type="list" allowBlank="1" showInputMessage="1" showErrorMessage="1" sqref="K4:K38">
      <formula1>"Very Simple,Simple,Medium,Complex,Very Complex"</formula1>
    </dataValidation>
    <dataValidation type="list" allowBlank="1" showInputMessage="1" showErrorMessage="1" sqref="J4:J38">
      <formula1>"Template,Component,Workflow,Java Services,Configuration,Setup"</formula1>
    </dataValidation>
    <dataValidation type="list" allowBlank="1" showInputMessage="1" showErrorMessage="1" sqref="M4:M38">
      <formula1>"0.0,0.05,0.10,0.15,0.20,0.25,0.30,0.35,0.40,0.45,0.50,0.55,0.60,0.65,0.70,0.75,0.80"</formula1>
    </dataValidation>
    <dataValidation type="list" allowBlank="1" showInputMessage="1" showErrorMessage="1" sqref="L4:L38">
      <formula1>"0.5, 1, 1.25, 1.5, 1.75"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86"/>
  <sheetViews>
    <sheetView tabSelected="1" topLeftCell="A16" workbookViewId="0">
      <selection activeCell="A34" sqref="A34:A35"/>
    </sheetView>
  </sheetViews>
  <sheetFormatPr defaultRowHeight="15" x14ac:dyDescent="0.25"/>
  <cols>
    <col min="1" max="1" width="153" style="2" customWidth="1"/>
  </cols>
  <sheetData>
    <row r="1" spans="1:1" s="1" customFormat="1" x14ac:dyDescent="0.25">
      <c r="A1" s="3" t="s">
        <v>48</v>
      </c>
    </row>
    <row r="2" spans="1:1" s="1" customFormat="1" x14ac:dyDescent="0.25">
      <c r="A2" s="10" t="s">
        <v>157</v>
      </c>
    </row>
    <row r="3" spans="1:1" s="1" customFormat="1" x14ac:dyDescent="0.25">
      <c r="A3" s="10" t="s">
        <v>158</v>
      </c>
    </row>
    <row r="4" spans="1:1" s="1" customFormat="1" x14ac:dyDescent="0.25">
      <c r="A4" s="10" t="s">
        <v>54</v>
      </c>
    </row>
    <row r="5" spans="1:1" s="1" customFormat="1" x14ac:dyDescent="0.25">
      <c r="A5" s="10" t="s">
        <v>55</v>
      </c>
    </row>
    <row r="6" spans="1:1" s="1" customFormat="1" x14ac:dyDescent="0.25">
      <c r="A6" s="10" t="s">
        <v>56</v>
      </c>
    </row>
    <row r="7" spans="1:1" s="1" customFormat="1" x14ac:dyDescent="0.25">
      <c r="A7" s="4"/>
    </row>
    <row r="8" spans="1:1" s="1" customFormat="1" x14ac:dyDescent="0.25">
      <c r="A8" s="8"/>
    </row>
    <row r="9" spans="1:1" s="1" customFormat="1" x14ac:dyDescent="0.25">
      <c r="A9" s="8"/>
    </row>
    <row r="10" spans="1:1" s="1" customFormat="1" x14ac:dyDescent="0.25">
      <c r="A10" s="8"/>
    </row>
    <row r="11" spans="1:1" s="1" customFormat="1" ht="15.75" thickBot="1" x14ac:dyDescent="0.3">
      <c r="A11" s="8"/>
    </row>
    <row r="12" spans="1:1" s="1" customFormat="1" x14ac:dyDescent="0.25">
      <c r="A12" s="3" t="s">
        <v>49</v>
      </c>
    </row>
    <row r="13" spans="1:1" s="1" customFormat="1" x14ac:dyDescent="0.25">
      <c r="A13" s="10" t="s">
        <v>57</v>
      </c>
    </row>
    <row r="14" spans="1:1" s="1" customFormat="1" x14ac:dyDescent="0.25">
      <c r="A14" s="10" t="s">
        <v>159</v>
      </c>
    </row>
    <row r="15" spans="1:1" s="9" customFormat="1" x14ac:dyDescent="0.25">
      <c r="A15" s="10" t="s">
        <v>160</v>
      </c>
    </row>
    <row r="16" spans="1:1" s="9" customFormat="1" x14ac:dyDescent="0.25">
      <c r="A16" s="10" t="s">
        <v>58</v>
      </c>
    </row>
    <row r="17" spans="1:1" s="9" customFormat="1" x14ac:dyDescent="0.25">
      <c r="A17" s="10" t="s">
        <v>161</v>
      </c>
    </row>
    <row r="18" spans="1:1" s="1" customFormat="1" x14ac:dyDescent="0.25">
      <c r="A18" s="10" t="s">
        <v>134</v>
      </c>
    </row>
    <row r="19" spans="1:1" s="1" customFormat="1" x14ac:dyDescent="0.25">
      <c r="A19" s="10" t="s">
        <v>162</v>
      </c>
    </row>
    <row r="20" spans="1:1" s="1" customFormat="1" x14ac:dyDescent="0.25">
      <c r="A20" s="10" t="s">
        <v>163</v>
      </c>
    </row>
    <row r="21" spans="1:1" s="1" customFormat="1" x14ac:dyDescent="0.25">
      <c r="A21" s="10" t="s">
        <v>164</v>
      </c>
    </row>
    <row r="22" spans="1:1" s="1" customFormat="1" x14ac:dyDescent="0.25">
      <c r="A22" s="10" t="s">
        <v>165</v>
      </c>
    </row>
    <row r="23" spans="1:1" s="1" customFormat="1" x14ac:dyDescent="0.25">
      <c r="A23" s="10" t="s">
        <v>166</v>
      </c>
    </row>
    <row r="24" spans="1:1" s="1" customFormat="1" x14ac:dyDescent="0.25">
      <c r="A24" s="10"/>
    </row>
    <row r="25" spans="1:1" s="1" customFormat="1" ht="15.75" thickBot="1" x14ac:dyDescent="0.3">
      <c r="A25" s="10"/>
    </row>
    <row r="26" spans="1:1" s="1" customFormat="1" x14ac:dyDescent="0.25">
      <c r="A26" s="3" t="s">
        <v>50</v>
      </c>
    </row>
    <row r="27" spans="1:1" s="1" customFormat="1" x14ac:dyDescent="0.25">
      <c r="A27" s="10" t="s">
        <v>167</v>
      </c>
    </row>
    <row r="28" spans="1:1" s="1" customFormat="1" x14ac:dyDescent="0.25">
      <c r="A28" s="38" t="s">
        <v>168</v>
      </c>
    </row>
    <row r="29" spans="1:1" s="1" customFormat="1" x14ac:dyDescent="0.25">
      <c r="A29" s="10" t="s">
        <v>59</v>
      </c>
    </row>
    <row r="30" spans="1:1" s="1" customFormat="1" x14ac:dyDescent="0.25">
      <c r="A30" s="10" t="s">
        <v>144</v>
      </c>
    </row>
    <row r="31" spans="1:1" s="1" customFormat="1" x14ac:dyDescent="0.25">
      <c r="A31" s="10" t="s">
        <v>145</v>
      </c>
    </row>
    <row r="32" spans="1:1" s="1" customFormat="1" x14ac:dyDescent="0.25">
      <c r="A32" s="10" t="s">
        <v>146</v>
      </c>
    </row>
    <row r="33" spans="1:1" s="1" customFormat="1" x14ac:dyDescent="0.25">
      <c r="A33" s="10" t="s">
        <v>147</v>
      </c>
    </row>
    <row r="34" spans="1:1" s="1" customFormat="1" x14ac:dyDescent="0.25">
      <c r="A34" s="6"/>
    </row>
    <row r="35" spans="1:1" s="1" customFormat="1" x14ac:dyDescent="0.25">
      <c r="A35" s="6"/>
    </row>
    <row r="36" spans="1:1" s="1" customFormat="1" x14ac:dyDescent="0.25">
      <c r="A36" s="6"/>
    </row>
    <row r="37" spans="1:1" s="1" customFormat="1" x14ac:dyDescent="0.25">
      <c r="A37" s="6"/>
    </row>
    <row r="38" spans="1:1" s="1" customFormat="1" x14ac:dyDescent="0.25">
      <c r="A38" s="6"/>
    </row>
    <row r="39" spans="1:1" s="1" customFormat="1" x14ac:dyDescent="0.25">
      <c r="A39" s="6"/>
    </row>
    <row r="40" spans="1:1" s="1" customFormat="1" x14ac:dyDescent="0.25">
      <c r="A40" s="6"/>
    </row>
    <row r="41" spans="1:1" s="1" customFormat="1" x14ac:dyDescent="0.25">
      <c r="A41" s="6"/>
    </row>
    <row r="42" spans="1:1" s="1" customFormat="1" x14ac:dyDescent="0.25">
      <c r="A42" s="6"/>
    </row>
    <row r="43" spans="1:1" s="1" customFormat="1" x14ac:dyDescent="0.25">
      <c r="A43" s="6"/>
    </row>
    <row r="44" spans="1:1" s="1" customFormat="1" x14ac:dyDescent="0.25">
      <c r="A44" s="6"/>
    </row>
    <row r="45" spans="1:1" s="1" customFormat="1" x14ac:dyDescent="0.25">
      <c r="A45" s="6"/>
    </row>
    <row r="46" spans="1:1" s="1" customFormat="1" x14ac:dyDescent="0.25">
      <c r="A46" s="6"/>
    </row>
    <row r="47" spans="1:1" s="1" customFormat="1" ht="15.75" thickBot="1" x14ac:dyDescent="0.3">
      <c r="A47" s="5"/>
    </row>
    <row r="48" spans="1:1" s="1" customFormat="1" x14ac:dyDescent="0.25">
      <c r="A48" s="7"/>
    </row>
    <row r="49" spans="1:5" s="1" customFormat="1" x14ac:dyDescent="0.25">
      <c r="A49" s="7"/>
    </row>
    <row r="50" spans="1:5" s="1" customFormat="1" x14ac:dyDescent="0.25">
      <c r="A50" s="109"/>
      <c r="B50" s="110"/>
      <c r="C50" s="110"/>
      <c r="D50" s="110"/>
      <c r="E50" s="110"/>
    </row>
    <row r="51" spans="1:5" s="1" customFormat="1" x14ac:dyDescent="0.25">
      <c r="A51" s="110"/>
      <c r="B51" s="110"/>
      <c r="C51" s="110"/>
      <c r="D51" s="110"/>
      <c r="E51" s="110"/>
    </row>
    <row r="52" spans="1:5" x14ac:dyDescent="0.25">
      <c r="A52" s="110"/>
      <c r="B52" s="110"/>
      <c r="C52" s="110"/>
      <c r="D52" s="110"/>
      <c r="E52" s="110"/>
    </row>
    <row r="53" spans="1:5" x14ac:dyDescent="0.25">
      <c r="A53" s="110"/>
      <c r="B53" s="110"/>
      <c r="C53" s="110"/>
      <c r="D53" s="110"/>
      <c r="E53" s="110"/>
    </row>
    <row r="54" spans="1:5" x14ac:dyDescent="0.25">
      <c r="A54" s="39"/>
      <c r="B54" s="39"/>
      <c r="C54" s="39"/>
      <c r="D54" s="39"/>
      <c r="E54" s="39"/>
    </row>
    <row r="55" spans="1:5" x14ac:dyDescent="0.25">
      <c r="A55" s="7"/>
    </row>
    <row r="56" spans="1:5" x14ac:dyDescent="0.25">
      <c r="A56" s="7"/>
    </row>
    <row r="57" spans="1:5" x14ac:dyDescent="0.25">
      <c r="A57" s="7"/>
    </row>
    <row r="58" spans="1:5" x14ac:dyDescent="0.25">
      <c r="A58" s="7"/>
    </row>
    <row r="59" spans="1:5" x14ac:dyDescent="0.25">
      <c r="A59" s="7"/>
    </row>
    <row r="60" spans="1:5" x14ac:dyDescent="0.25">
      <c r="A60" s="1"/>
    </row>
    <row r="61" spans="1:5" x14ac:dyDescent="0.25">
      <c r="A61" s="1"/>
    </row>
    <row r="62" spans="1:5" x14ac:dyDescent="0.25">
      <c r="A62" s="1"/>
    </row>
    <row r="63" spans="1:5" x14ac:dyDescent="0.25">
      <c r="A63" s="1"/>
    </row>
    <row r="64" spans="1:5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</sheetData>
  <mergeCells count="1">
    <mergeCell ref="A50:E53"/>
  </mergeCells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L37"/>
  <sheetViews>
    <sheetView workbookViewId="0">
      <selection activeCell="H23" sqref="H23"/>
    </sheetView>
  </sheetViews>
  <sheetFormatPr defaultRowHeight="15" x14ac:dyDescent="0.25"/>
  <cols>
    <col min="1" max="1" width="32.28515625" bestFit="1" customWidth="1"/>
    <col min="2" max="2" width="3.5703125" bestFit="1" customWidth="1"/>
    <col min="3" max="3" width="3.85546875" customWidth="1"/>
    <col min="4" max="23" width="3.5703125" bestFit="1" customWidth="1"/>
    <col min="24" max="33" width="3" bestFit="1" customWidth="1"/>
    <col min="34" max="34" width="5" bestFit="1" customWidth="1"/>
    <col min="35" max="35" width="11" customWidth="1"/>
    <col min="36" max="36" width="6.5703125" customWidth="1"/>
    <col min="37" max="37" width="11.7109375" customWidth="1"/>
  </cols>
  <sheetData>
    <row r="1" spans="1:37" x14ac:dyDescent="0.25">
      <c r="A1" s="11" t="s">
        <v>60</v>
      </c>
      <c r="B1" s="116" t="s">
        <v>61</v>
      </c>
      <c r="C1" s="116"/>
      <c r="D1" s="116"/>
      <c r="E1" s="116"/>
      <c r="F1" s="117" t="s">
        <v>62</v>
      </c>
      <c r="G1" s="117"/>
      <c r="H1" s="117"/>
      <c r="I1" s="117"/>
      <c r="J1" s="116" t="s">
        <v>63</v>
      </c>
      <c r="K1" s="116"/>
      <c r="L1" s="116"/>
      <c r="M1" s="116"/>
      <c r="N1" s="117" t="s">
        <v>64</v>
      </c>
      <c r="O1" s="117"/>
      <c r="P1" s="117"/>
      <c r="Q1" s="117"/>
      <c r="R1" s="116" t="s">
        <v>65</v>
      </c>
      <c r="S1" s="116"/>
      <c r="T1" s="116"/>
      <c r="U1" s="116"/>
      <c r="V1" s="117" t="s">
        <v>66</v>
      </c>
      <c r="W1" s="117"/>
      <c r="X1" s="117"/>
      <c r="Y1" s="117"/>
      <c r="Z1" s="116" t="s">
        <v>67</v>
      </c>
      <c r="AA1" s="116"/>
      <c r="AB1" s="116"/>
      <c r="AC1" s="116"/>
      <c r="AD1" s="117" t="s">
        <v>68</v>
      </c>
      <c r="AE1" s="117"/>
      <c r="AF1" s="117"/>
      <c r="AG1" s="117"/>
      <c r="AH1" s="9"/>
      <c r="AI1" s="9"/>
      <c r="AJ1" s="9"/>
      <c r="AK1" s="9"/>
    </row>
    <row r="2" spans="1:37" ht="19.5" x14ac:dyDescent="0.25">
      <c r="A2" s="12" t="s">
        <v>69</v>
      </c>
      <c r="B2" s="13" t="s">
        <v>70</v>
      </c>
      <c r="C2" s="13" t="s">
        <v>71</v>
      </c>
      <c r="D2" s="13" t="s">
        <v>72</v>
      </c>
      <c r="E2" s="13" t="s">
        <v>73</v>
      </c>
      <c r="F2" s="13" t="s">
        <v>74</v>
      </c>
      <c r="G2" s="13" t="s">
        <v>75</v>
      </c>
      <c r="H2" s="13" t="s">
        <v>76</v>
      </c>
      <c r="I2" s="13" t="s">
        <v>77</v>
      </c>
      <c r="J2" s="13" t="s">
        <v>78</v>
      </c>
      <c r="K2" s="13" t="s">
        <v>79</v>
      </c>
      <c r="L2" s="13" t="s">
        <v>80</v>
      </c>
      <c r="M2" s="13" t="s">
        <v>81</v>
      </c>
      <c r="N2" s="13" t="s">
        <v>82</v>
      </c>
      <c r="O2" s="13" t="s">
        <v>83</v>
      </c>
      <c r="P2" s="13" t="s">
        <v>84</v>
      </c>
      <c r="Q2" s="13" t="s">
        <v>85</v>
      </c>
      <c r="R2" s="13" t="s">
        <v>86</v>
      </c>
      <c r="S2" s="13" t="s">
        <v>87</v>
      </c>
      <c r="T2" s="13" t="s">
        <v>88</v>
      </c>
      <c r="U2" s="13" t="s">
        <v>89</v>
      </c>
      <c r="V2" s="13" t="s">
        <v>90</v>
      </c>
      <c r="W2" s="13" t="s">
        <v>91</v>
      </c>
      <c r="X2" s="13" t="s">
        <v>92</v>
      </c>
      <c r="Y2" s="13" t="s">
        <v>93</v>
      </c>
      <c r="Z2" s="13" t="s">
        <v>94</v>
      </c>
      <c r="AA2" s="13" t="s">
        <v>95</v>
      </c>
      <c r="AB2" s="13" t="s">
        <v>96</v>
      </c>
      <c r="AC2" s="13" t="s">
        <v>97</v>
      </c>
      <c r="AD2" s="13" t="s">
        <v>98</v>
      </c>
      <c r="AE2" s="13" t="s">
        <v>99</v>
      </c>
      <c r="AF2" s="13" t="s">
        <v>100</v>
      </c>
      <c r="AG2" s="13" t="s">
        <v>101</v>
      </c>
      <c r="AH2" s="9"/>
      <c r="AI2" s="9"/>
      <c r="AJ2" s="9"/>
      <c r="AK2" s="9"/>
    </row>
    <row r="3" spans="1:37" x14ac:dyDescent="0.25">
      <c r="A3" s="12" t="s">
        <v>102</v>
      </c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9"/>
      <c r="AI3" s="9"/>
      <c r="AJ3" s="9"/>
      <c r="AK3" s="9"/>
    </row>
    <row r="4" spans="1:37" x14ac:dyDescent="0.25">
      <c r="A4" s="15" t="s">
        <v>103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9"/>
      <c r="AI4" s="9"/>
      <c r="AJ4" s="9"/>
      <c r="AK4" s="9"/>
    </row>
    <row r="5" spans="1:37" x14ac:dyDescent="0.25">
      <c r="A5" s="16" t="s">
        <v>105</v>
      </c>
      <c r="B5" s="14"/>
      <c r="C5" s="14"/>
      <c r="D5" s="14"/>
      <c r="E5" s="14"/>
      <c r="G5" s="17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9"/>
      <c r="AI5" s="9"/>
      <c r="AJ5" s="9"/>
      <c r="AK5" s="9"/>
    </row>
    <row r="6" spans="1:37" x14ac:dyDescent="0.25">
      <c r="A6" s="16" t="s">
        <v>104</v>
      </c>
      <c r="B6" s="14"/>
      <c r="C6" s="14"/>
      <c r="D6" s="14"/>
      <c r="E6" s="17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9"/>
      <c r="AI6" s="9"/>
      <c r="AJ6" s="9"/>
      <c r="AK6" s="9"/>
    </row>
    <row r="7" spans="1:37" x14ac:dyDescent="0.25">
      <c r="A7" s="16" t="s">
        <v>129</v>
      </c>
      <c r="B7" s="14"/>
      <c r="C7" s="14"/>
      <c r="D7" s="14"/>
      <c r="E7" s="14"/>
      <c r="F7" s="14"/>
      <c r="G7" s="17"/>
      <c r="H7" s="14"/>
      <c r="J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9"/>
      <c r="AI7" s="9"/>
      <c r="AJ7" s="9"/>
      <c r="AK7" s="9"/>
    </row>
    <row r="8" spans="1:37" x14ac:dyDescent="0.25">
      <c r="A8" s="114" t="s">
        <v>130</v>
      </c>
      <c r="B8" s="115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9"/>
      <c r="AI8" s="9"/>
      <c r="AJ8" s="9"/>
      <c r="AK8" s="9"/>
    </row>
    <row r="9" spans="1:37" x14ac:dyDescent="0.25">
      <c r="A9" s="18" t="s">
        <v>131</v>
      </c>
      <c r="B9" s="19"/>
      <c r="C9" s="19"/>
      <c r="D9" s="19"/>
      <c r="E9" s="22"/>
      <c r="F9" s="22"/>
      <c r="G9" s="22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9"/>
      <c r="AI9" s="9"/>
      <c r="AJ9" s="9"/>
      <c r="AK9" s="9"/>
    </row>
    <row r="10" spans="1:37" x14ac:dyDescent="0.25">
      <c r="A10" s="18" t="s">
        <v>106</v>
      </c>
      <c r="B10" s="14"/>
      <c r="C10" s="20"/>
      <c r="D10" s="20"/>
      <c r="E10" s="20"/>
      <c r="F10" s="20"/>
      <c r="H10" s="22"/>
      <c r="I10" s="22"/>
      <c r="J10" s="22"/>
      <c r="K10" s="22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9"/>
      <c r="AI10" s="9"/>
      <c r="AJ10" s="9"/>
      <c r="AK10" s="9"/>
    </row>
    <row r="11" spans="1:37" x14ac:dyDescent="0.25">
      <c r="A11" s="18" t="s">
        <v>107</v>
      </c>
      <c r="B11" s="14"/>
      <c r="C11" s="14"/>
      <c r="D11" s="14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14"/>
      <c r="AC11" s="14"/>
      <c r="AD11" s="14"/>
      <c r="AE11" s="14"/>
      <c r="AF11" s="14"/>
      <c r="AG11" s="14"/>
      <c r="AH11" s="9"/>
      <c r="AI11" s="9"/>
      <c r="AJ11" s="9"/>
      <c r="AK11" s="9"/>
    </row>
    <row r="12" spans="1:37" s="9" customFormat="1" x14ac:dyDescent="0.25">
      <c r="A12" s="18" t="s">
        <v>143</v>
      </c>
      <c r="B12" s="14"/>
      <c r="C12" s="14"/>
      <c r="D12" s="14"/>
      <c r="E12" s="14"/>
      <c r="F12" s="22"/>
      <c r="G12" s="22"/>
      <c r="H12" s="22"/>
      <c r="I12" s="22"/>
      <c r="J12" s="22"/>
      <c r="K12" s="22"/>
      <c r="L12" s="22"/>
      <c r="M12" s="22"/>
      <c r="N12" s="22"/>
      <c r="O12" s="23"/>
      <c r="P12" s="23"/>
      <c r="Q12" s="23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14"/>
      <c r="AC12" s="14"/>
      <c r="AD12" s="14"/>
      <c r="AE12" s="14"/>
      <c r="AF12" s="14"/>
      <c r="AG12" s="14"/>
    </row>
    <row r="13" spans="1:37" x14ac:dyDescent="0.25">
      <c r="A13" s="18" t="s">
        <v>108</v>
      </c>
      <c r="B13" s="14"/>
      <c r="C13" s="14"/>
      <c r="D13" s="14"/>
      <c r="E13" s="14"/>
      <c r="F13" s="14"/>
      <c r="G13" s="14"/>
      <c r="H13" s="22"/>
      <c r="I13" s="22"/>
      <c r="J13" s="22"/>
      <c r="K13" s="22"/>
      <c r="L13" s="22"/>
      <c r="M13" s="22"/>
      <c r="N13" s="22"/>
      <c r="O13" s="22"/>
      <c r="P13" s="14"/>
      <c r="Q13" s="71"/>
      <c r="R13" s="71"/>
      <c r="S13" s="71"/>
      <c r="T13" s="71"/>
      <c r="U13" s="71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9"/>
      <c r="AI13" s="9"/>
      <c r="AJ13" s="9"/>
      <c r="AK13" s="9"/>
    </row>
    <row r="14" spans="1:37" x14ac:dyDescent="0.25">
      <c r="A14" s="18" t="s">
        <v>109</v>
      </c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24"/>
      <c r="V14" s="24"/>
      <c r="W14" s="24"/>
      <c r="Y14" s="14"/>
      <c r="Z14" s="14"/>
      <c r="AA14" s="14"/>
      <c r="AB14" s="14"/>
      <c r="AC14" s="14"/>
      <c r="AD14" s="14"/>
      <c r="AE14" s="14"/>
      <c r="AF14" s="14"/>
      <c r="AG14" s="22"/>
      <c r="AH14" s="9"/>
      <c r="AI14" s="9"/>
      <c r="AJ14" s="9"/>
      <c r="AK14" s="9"/>
    </row>
    <row r="15" spans="1:37" x14ac:dyDescent="0.25">
      <c r="A15" s="25"/>
      <c r="B15" s="113" t="s">
        <v>148</v>
      </c>
      <c r="C15" s="113"/>
      <c r="D15" s="113"/>
      <c r="E15" s="113"/>
      <c r="F15" s="112" t="s">
        <v>149</v>
      </c>
      <c r="G15" s="112"/>
      <c r="H15" s="112"/>
      <c r="I15" s="112"/>
      <c r="J15" s="113" t="s">
        <v>150</v>
      </c>
      <c r="K15" s="113"/>
      <c r="L15" s="113"/>
      <c r="M15" s="113"/>
      <c r="N15" s="112" t="s">
        <v>151</v>
      </c>
      <c r="O15" s="112"/>
      <c r="P15" s="112"/>
      <c r="Q15" s="112"/>
      <c r="R15" s="113" t="s">
        <v>152</v>
      </c>
      <c r="S15" s="113"/>
      <c r="T15" s="113"/>
      <c r="U15" s="113"/>
      <c r="V15" s="112" t="s">
        <v>153</v>
      </c>
      <c r="W15" s="112"/>
      <c r="X15" s="112"/>
      <c r="Y15" s="112"/>
      <c r="Z15" s="113" t="s">
        <v>154</v>
      </c>
      <c r="AA15" s="113"/>
      <c r="AB15" s="113"/>
      <c r="AC15" s="113"/>
      <c r="AD15" s="111">
        <v>42370</v>
      </c>
      <c r="AE15" s="112"/>
      <c r="AF15" s="112"/>
      <c r="AG15" s="112"/>
      <c r="AH15" s="9"/>
      <c r="AI15" s="9"/>
      <c r="AJ15" s="9"/>
      <c r="AK15" s="9"/>
    </row>
    <row r="16" spans="1:37" ht="19.5" x14ac:dyDescent="0.25">
      <c r="A16" s="26" t="s">
        <v>110</v>
      </c>
      <c r="B16" s="27" t="s">
        <v>70</v>
      </c>
      <c r="C16" s="27" t="s">
        <v>71</v>
      </c>
      <c r="D16" s="27" t="s">
        <v>72</v>
      </c>
      <c r="E16" s="27" t="s">
        <v>73</v>
      </c>
      <c r="F16" s="27" t="s">
        <v>74</v>
      </c>
      <c r="G16" s="27" t="s">
        <v>75</v>
      </c>
      <c r="H16" s="27" t="s">
        <v>76</v>
      </c>
      <c r="I16" s="27" t="s">
        <v>77</v>
      </c>
      <c r="J16" s="27" t="s">
        <v>78</v>
      </c>
      <c r="K16" s="27" t="s">
        <v>79</v>
      </c>
      <c r="L16" s="27" t="s">
        <v>80</v>
      </c>
      <c r="M16" s="27" t="s">
        <v>81</v>
      </c>
      <c r="N16" s="27" t="s">
        <v>82</v>
      </c>
      <c r="O16" s="27" t="s">
        <v>83</v>
      </c>
      <c r="P16" s="27" t="s">
        <v>84</v>
      </c>
      <c r="Q16" s="27" t="s">
        <v>85</v>
      </c>
      <c r="R16" s="27" t="s">
        <v>86</v>
      </c>
      <c r="S16" s="27" t="s">
        <v>87</v>
      </c>
      <c r="T16" s="27" t="s">
        <v>88</v>
      </c>
      <c r="U16" s="27" t="s">
        <v>89</v>
      </c>
      <c r="V16" s="27" t="s">
        <v>90</v>
      </c>
      <c r="W16" s="27" t="s">
        <v>91</v>
      </c>
      <c r="X16" s="27" t="s">
        <v>92</v>
      </c>
      <c r="Y16" s="27" t="s">
        <v>93</v>
      </c>
      <c r="Z16" s="27" t="s">
        <v>94</v>
      </c>
      <c r="AA16" s="27" t="s">
        <v>95</v>
      </c>
      <c r="AB16" s="27" t="s">
        <v>96</v>
      </c>
      <c r="AC16" s="27" t="s">
        <v>97</v>
      </c>
      <c r="AD16" s="27" t="s">
        <v>98</v>
      </c>
      <c r="AE16" s="27" t="s">
        <v>99</v>
      </c>
      <c r="AF16" s="27" t="s">
        <v>100</v>
      </c>
      <c r="AG16" s="27" t="s">
        <v>101</v>
      </c>
      <c r="AH16" s="28" t="s">
        <v>111</v>
      </c>
      <c r="AI16" s="28" t="s">
        <v>28</v>
      </c>
      <c r="AJ16" s="28" t="s">
        <v>112</v>
      </c>
      <c r="AK16" s="28" t="s">
        <v>113</v>
      </c>
    </row>
    <row r="17" spans="1:37" x14ac:dyDescent="0.25">
      <c r="A17" s="29" t="s">
        <v>114</v>
      </c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  <c r="AG17" s="30"/>
      <c r="AH17" s="30">
        <f t="shared" ref="AH17:AH30" si="0">SUM(B17:AG17)</f>
        <v>0</v>
      </c>
      <c r="AI17" s="72">
        <f>(AH17*40)/160</f>
        <v>0</v>
      </c>
      <c r="AJ17" s="30"/>
      <c r="AK17" s="30">
        <f>AJ17*AH17*40</f>
        <v>0</v>
      </c>
    </row>
    <row r="18" spans="1:37" x14ac:dyDescent="0.25">
      <c r="A18" s="29" t="s">
        <v>115</v>
      </c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>
        <f t="shared" si="0"/>
        <v>0</v>
      </c>
      <c r="AI18" s="72">
        <f t="shared" ref="AI18:AI30" si="1">(AH18*40)/160</f>
        <v>0</v>
      </c>
      <c r="AJ18" s="30"/>
      <c r="AK18" s="30">
        <f t="shared" ref="AK18:AK30" si="2">AJ18*AH18*40</f>
        <v>0</v>
      </c>
    </row>
    <row r="19" spans="1:37" x14ac:dyDescent="0.25">
      <c r="A19" s="29" t="s">
        <v>116</v>
      </c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>
        <f t="shared" si="0"/>
        <v>0</v>
      </c>
      <c r="AI19" s="72">
        <f t="shared" si="1"/>
        <v>0</v>
      </c>
      <c r="AJ19" s="30"/>
      <c r="AK19" s="30">
        <f t="shared" si="2"/>
        <v>0</v>
      </c>
    </row>
    <row r="20" spans="1:37" x14ac:dyDescent="0.25">
      <c r="A20" s="29" t="s">
        <v>117</v>
      </c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>
        <f t="shared" si="0"/>
        <v>0</v>
      </c>
      <c r="AI20" s="72">
        <f t="shared" si="1"/>
        <v>0</v>
      </c>
      <c r="AJ20" s="30"/>
      <c r="AK20" s="30">
        <f t="shared" si="2"/>
        <v>0</v>
      </c>
    </row>
    <row r="21" spans="1:37" x14ac:dyDescent="0.25">
      <c r="A21" s="29" t="s">
        <v>118</v>
      </c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>
        <f>SUM(B21:AG21)</f>
        <v>0</v>
      </c>
      <c r="AI21" s="72">
        <f>(AH21*40)/160</f>
        <v>0</v>
      </c>
      <c r="AJ21" s="30"/>
      <c r="AK21" s="30">
        <f>AJ21*AH21*40</f>
        <v>0</v>
      </c>
    </row>
    <row r="22" spans="1:37" x14ac:dyDescent="0.25">
      <c r="A22" s="31" t="s">
        <v>119</v>
      </c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0">
        <f t="shared" si="0"/>
        <v>0</v>
      </c>
      <c r="AI22" s="72">
        <f t="shared" si="1"/>
        <v>0</v>
      </c>
      <c r="AJ22" s="30"/>
      <c r="AK22" s="30">
        <f t="shared" si="2"/>
        <v>0</v>
      </c>
    </row>
    <row r="23" spans="1:37" x14ac:dyDescent="0.25">
      <c r="A23" s="33" t="s">
        <v>120</v>
      </c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0">
        <f t="shared" si="0"/>
        <v>0</v>
      </c>
      <c r="AI23" s="72">
        <f t="shared" si="1"/>
        <v>0</v>
      </c>
      <c r="AJ23" s="30"/>
      <c r="AK23" s="30">
        <f t="shared" si="2"/>
        <v>0</v>
      </c>
    </row>
    <row r="24" spans="1:37" x14ac:dyDescent="0.25">
      <c r="A24" s="33" t="s">
        <v>121</v>
      </c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0">
        <f t="shared" si="0"/>
        <v>0</v>
      </c>
      <c r="AI24" s="72">
        <f t="shared" si="1"/>
        <v>0</v>
      </c>
      <c r="AJ24" s="30"/>
      <c r="AK24" s="30">
        <f t="shared" si="2"/>
        <v>0</v>
      </c>
    </row>
    <row r="25" spans="1:37" x14ac:dyDescent="0.25">
      <c r="A25" s="33" t="s">
        <v>122</v>
      </c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0">
        <f t="shared" si="0"/>
        <v>0</v>
      </c>
      <c r="AI25" s="72">
        <f t="shared" si="1"/>
        <v>0</v>
      </c>
      <c r="AJ25" s="30"/>
      <c r="AK25" s="30">
        <f t="shared" si="2"/>
        <v>0</v>
      </c>
    </row>
    <row r="26" spans="1:37" x14ac:dyDescent="0.25">
      <c r="A26" s="33" t="s">
        <v>123</v>
      </c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0">
        <f>SUM(B26:AG26)</f>
        <v>0</v>
      </c>
      <c r="AI26" s="72">
        <f>(AH26*40)/160</f>
        <v>0</v>
      </c>
      <c r="AJ26" s="30"/>
      <c r="AK26" s="30">
        <f t="shared" si="2"/>
        <v>0</v>
      </c>
    </row>
    <row r="27" spans="1:37" x14ac:dyDescent="0.25">
      <c r="A27" s="33" t="s">
        <v>124</v>
      </c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0">
        <f t="shared" si="0"/>
        <v>0</v>
      </c>
      <c r="AI27" s="72">
        <f t="shared" si="1"/>
        <v>0</v>
      </c>
      <c r="AJ27" s="30"/>
      <c r="AK27" s="30">
        <f t="shared" si="2"/>
        <v>0</v>
      </c>
    </row>
    <row r="28" spans="1:37" x14ac:dyDescent="0.25">
      <c r="A28" s="33" t="s">
        <v>125</v>
      </c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0">
        <f t="shared" si="0"/>
        <v>0</v>
      </c>
      <c r="AI28" s="72">
        <f t="shared" si="1"/>
        <v>0</v>
      </c>
      <c r="AJ28" s="30"/>
      <c r="AK28" s="30">
        <f t="shared" si="2"/>
        <v>0</v>
      </c>
    </row>
    <row r="29" spans="1:37" x14ac:dyDescent="0.25">
      <c r="A29" s="35" t="s">
        <v>126</v>
      </c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0">
        <f t="shared" si="0"/>
        <v>0</v>
      </c>
      <c r="AI29" s="72">
        <f t="shared" si="1"/>
        <v>0</v>
      </c>
      <c r="AJ29" s="30"/>
      <c r="AK29" s="30">
        <f t="shared" si="2"/>
        <v>0</v>
      </c>
    </row>
    <row r="30" spans="1:37" x14ac:dyDescent="0.25">
      <c r="A30" s="35" t="s">
        <v>127</v>
      </c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0">
        <f t="shared" si="0"/>
        <v>0</v>
      </c>
      <c r="AI30" s="72">
        <f t="shared" si="1"/>
        <v>0</v>
      </c>
      <c r="AJ30" s="30"/>
      <c r="AK30" s="30">
        <f t="shared" si="2"/>
        <v>0</v>
      </c>
    </row>
    <row r="31" spans="1:37" x14ac:dyDescent="0.25">
      <c r="A31" s="36" t="s">
        <v>128</v>
      </c>
      <c r="B31" s="37">
        <f t="shared" ref="B31:AG31" si="3">SUM(B17:B30)</f>
        <v>0</v>
      </c>
      <c r="C31" s="37">
        <f t="shared" si="3"/>
        <v>0</v>
      </c>
      <c r="D31" s="37">
        <f t="shared" si="3"/>
        <v>0</v>
      </c>
      <c r="E31" s="37">
        <f t="shared" si="3"/>
        <v>0</v>
      </c>
      <c r="F31" s="37">
        <f t="shared" si="3"/>
        <v>0</v>
      </c>
      <c r="G31" s="37">
        <f t="shared" si="3"/>
        <v>0</v>
      </c>
      <c r="H31" s="37">
        <f t="shared" si="3"/>
        <v>0</v>
      </c>
      <c r="I31" s="37">
        <f t="shared" si="3"/>
        <v>0</v>
      </c>
      <c r="J31" s="37">
        <f t="shared" si="3"/>
        <v>0</v>
      </c>
      <c r="K31" s="37">
        <f t="shared" si="3"/>
        <v>0</v>
      </c>
      <c r="L31" s="37">
        <f t="shared" si="3"/>
        <v>0</v>
      </c>
      <c r="M31" s="37">
        <f t="shared" si="3"/>
        <v>0</v>
      </c>
      <c r="N31" s="37">
        <f t="shared" si="3"/>
        <v>0</v>
      </c>
      <c r="O31" s="37">
        <f t="shared" si="3"/>
        <v>0</v>
      </c>
      <c r="P31" s="37">
        <f t="shared" si="3"/>
        <v>0</v>
      </c>
      <c r="Q31" s="37">
        <f t="shared" si="3"/>
        <v>0</v>
      </c>
      <c r="R31" s="37">
        <f t="shared" si="3"/>
        <v>0</v>
      </c>
      <c r="S31" s="37">
        <f t="shared" si="3"/>
        <v>0</v>
      </c>
      <c r="T31" s="37">
        <f t="shared" si="3"/>
        <v>0</v>
      </c>
      <c r="U31" s="37">
        <f t="shared" si="3"/>
        <v>0</v>
      </c>
      <c r="V31" s="37">
        <f t="shared" si="3"/>
        <v>0</v>
      </c>
      <c r="W31" s="37">
        <f t="shared" si="3"/>
        <v>0</v>
      </c>
      <c r="X31" s="37">
        <f t="shared" si="3"/>
        <v>0</v>
      </c>
      <c r="Y31" s="37">
        <f t="shared" si="3"/>
        <v>0</v>
      </c>
      <c r="Z31" s="37">
        <f t="shared" si="3"/>
        <v>0</v>
      </c>
      <c r="AA31" s="37">
        <f t="shared" si="3"/>
        <v>0</v>
      </c>
      <c r="AB31" s="37">
        <f t="shared" si="3"/>
        <v>0</v>
      </c>
      <c r="AC31" s="37">
        <f t="shared" si="3"/>
        <v>0</v>
      </c>
      <c r="AD31" s="37">
        <f t="shared" si="3"/>
        <v>0</v>
      </c>
      <c r="AE31" s="37">
        <f t="shared" si="3"/>
        <v>0</v>
      </c>
      <c r="AF31" s="37">
        <f t="shared" si="3"/>
        <v>0</v>
      </c>
      <c r="AG31" s="37">
        <f t="shared" si="3"/>
        <v>0</v>
      </c>
      <c r="AH31" s="79">
        <f t="shared" ref="AH31:AK31" si="4">SUM(AH17:AH30)</f>
        <v>0</v>
      </c>
      <c r="AI31" s="73">
        <f>SUM(AI17:AI30)</f>
        <v>0</v>
      </c>
      <c r="AJ31" s="37"/>
      <c r="AK31" s="78">
        <f t="shared" si="4"/>
        <v>0</v>
      </c>
    </row>
    <row r="32" spans="1:37" x14ac:dyDescent="0.25">
      <c r="AI32" s="76"/>
    </row>
    <row r="33" spans="22:38" ht="28.5" customHeight="1" x14ac:dyDescent="0.25"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</row>
    <row r="34" spans="22:38" x14ac:dyDescent="0.25"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</row>
    <row r="35" spans="22:38" x14ac:dyDescent="0.25"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</row>
    <row r="36" spans="22:38" x14ac:dyDescent="0.25"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</row>
    <row r="37" spans="22:38" x14ac:dyDescent="0.25">
      <c r="AK37" s="77"/>
    </row>
  </sheetData>
  <mergeCells count="17">
    <mergeCell ref="A8:AG8"/>
    <mergeCell ref="Z1:AC1"/>
    <mergeCell ref="AD1:AG1"/>
    <mergeCell ref="B1:E1"/>
    <mergeCell ref="F1:I1"/>
    <mergeCell ref="J1:M1"/>
    <mergeCell ref="N1:Q1"/>
    <mergeCell ref="R1:U1"/>
    <mergeCell ref="V1:Y1"/>
    <mergeCell ref="AD15:AG15"/>
    <mergeCell ref="V15:Y15"/>
    <mergeCell ref="Z15:AC15"/>
    <mergeCell ref="B15:E15"/>
    <mergeCell ref="F15:I15"/>
    <mergeCell ref="J15:M15"/>
    <mergeCell ref="N15:Q15"/>
    <mergeCell ref="R15:U1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elanfinancialservices</vt:lpstr>
      <vt:lpstr>Scope_Assumptions</vt:lpstr>
      <vt:lpstr>Schedule_with_RL</vt:lpstr>
    </vt:vector>
  </TitlesOfParts>
  <Company>Cognizant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Vrushabhendrappa, Vijaya(Cognizant)</dc:creator>
  <cp:lastModifiedBy>Windows User</cp:lastModifiedBy>
  <dcterms:created xsi:type="dcterms:W3CDTF">2013-12-13T10:55:56Z</dcterms:created>
  <dcterms:modified xsi:type="dcterms:W3CDTF">2015-06-22T12:17:07Z</dcterms:modified>
</cp:coreProperties>
</file>